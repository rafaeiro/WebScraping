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hidePivotFieldList="1"/>
  <xr:revisionPtr revIDLastSave="0" documentId="8_{67997A7D-8741-4CD7-8263-43CA7D57FB6C}" xr6:coauthVersionLast="47" xr6:coauthVersionMax="47" xr10:uidLastSave="{00000000-0000-0000-0000-000000000000}"/>
  <bookViews>
    <workbookView xWindow="0" yWindow="0" windowWidth="0" windowHeight="0" firstSheet="2" activeTab="2" xr2:uid="{00000000-000D-0000-FFFF-FFFF00000000}"/>
  </bookViews>
  <sheets>
    <sheet name="Sheet1" sheetId="1" r:id="rId1"/>
    <sheet name="Semana" sheetId="2" r:id="rId2"/>
    <sheet name="Resultado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41" i="1" l="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G615" i="1"/>
  <c r="G614" i="1"/>
  <c r="G613" i="1"/>
  <c r="G612" i="1"/>
  <c r="G611" i="1"/>
  <c r="G610" i="1"/>
  <c r="G609" i="1"/>
  <c r="G608" i="1"/>
  <c r="G607" i="1"/>
  <c r="G606" i="1"/>
  <c r="G605" i="1"/>
  <c r="G604" i="1"/>
  <c r="G603" i="1"/>
  <c r="G602" i="1"/>
  <c r="G601" i="1"/>
  <c r="G600" i="1"/>
  <c r="G599" i="1"/>
  <c r="G598" i="1"/>
  <c r="G597" i="1"/>
  <c r="G596" i="1"/>
  <c r="G595" i="1"/>
  <c r="G594" i="1"/>
  <c r="G593" i="1"/>
  <c r="G592" i="1"/>
  <c r="G591" i="1"/>
  <c r="G590" i="1"/>
  <c r="G589" i="1"/>
  <c r="G588" i="1"/>
  <c r="G587" i="1"/>
  <c r="G586" i="1"/>
  <c r="G585" i="1"/>
  <c r="G584" i="1"/>
  <c r="G583" i="1"/>
  <c r="G582" i="1"/>
  <c r="G581" i="1"/>
  <c r="G580" i="1"/>
  <c r="G579" i="1"/>
  <c r="G578" i="1"/>
  <c r="G577" i="1"/>
  <c r="G576" i="1"/>
  <c r="G575" i="1"/>
  <c r="G574" i="1"/>
  <c r="G573" i="1"/>
  <c r="G572" i="1"/>
  <c r="G571" i="1"/>
  <c r="G570" i="1"/>
  <c r="G569" i="1"/>
  <c r="G568" i="1"/>
  <c r="G567" i="1"/>
  <c r="G566" i="1"/>
  <c r="G565" i="1"/>
  <c r="G564" i="1"/>
  <c r="G563" i="1"/>
  <c r="G562" i="1"/>
  <c r="G561" i="1"/>
  <c r="G560" i="1"/>
  <c r="G559" i="1"/>
  <c r="G558" i="1"/>
  <c r="G557" i="1"/>
  <c r="G556" i="1"/>
  <c r="G555" i="1"/>
  <c r="G554" i="1"/>
  <c r="G553" i="1"/>
  <c r="G552" i="1"/>
  <c r="G551" i="1"/>
  <c r="G550" i="1"/>
  <c r="G549" i="1"/>
  <c r="G548" i="1"/>
  <c r="G547" i="1"/>
  <c r="G546" i="1"/>
  <c r="G545" i="1"/>
  <c r="G544" i="1"/>
  <c r="G543" i="1"/>
  <c r="G542" i="1"/>
  <c r="G541"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G540" i="1"/>
  <c r="G539" i="1"/>
  <c r="G538" i="1"/>
  <c r="G537" i="1"/>
  <c r="G536" i="1"/>
  <c r="G535" i="1"/>
  <c r="G534" i="1"/>
  <c r="G533" i="1"/>
  <c r="G532" i="1"/>
  <c r="G531" i="1"/>
  <c r="G530" i="1"/>
  <c r="G529" i="1"/>
  <c r="G528" i="1"/>
  <c r="G527" i="1"/>
  <c r="G526" i="1"/>
  <c r="G525" i="1"/>
  <c r="G524" i="1"/>
  <c r="G523" i="1"/>
  <c r="G522" i="1"/>
  <c r="G521" i="1"/>
  <c r="G520" i="1"/>
  <c r="G519" i="1"/>
  <c r="G518" i="1"/>
  <c r="G517" i="1"/>
  <c r="G516" i="1"/>
  <c r="G515" i="1"/>
  <c r="G514" i="1"/>
  <c r="G513" i="1"/>
  <c r="G512" i="1"/>
  <c r="G511" i="1"/>
  <c r="G510" i="1"/>
  <c r="G509" i="1"/>
  <c r="G508" i="1"/>
  <c r="G507" i="1"/>
  <c r="G506" i="1"/>
  <c r="M505" i="1"/>
  <c r="N505"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44" i="1"/>
  <c r="G443" i="1"/>
  <c r="G442" i="1"/>
  <c r="G441" i="1"/>
  <c r="G440" i="1"/>
  <c r="G439" i="1"/>
  <c r="G438" i="1"/>
  <c r="G437" i="1"/>
  <c r="G436" i="1"/>
  <c r="G435" i="1"/>
  <c r="G434" i="1"/>
  <c r="G433" i="1"/>
  <c r="G432" i="1"/>
  <c r="G431" i="1"/>
  <c r="G430" i="1"/>
  <c r="G429" i="1"/>
  <c r="G428" i="1"/>
  <c r="G427" i="1"/>
  <c r="G426" i="1"/>
  <c r="G425" i="1"/>
  <c r="G424" i="1"/>
  <c r="G423" i="1"/>
  <c r="G422" i="1"/>
  <c r="G421" i="1"/>
  <c r="G420" i="1"/>
  <c r="G419" i="1"/>
  <c r="G418" i="1"/>
  <c r="G417" i="1"/>
  <c r="G416" i="1"/>
  <c r="G415" i="1"/>
  <c r="G414" i="1"/>
  <c r="G413" i="1"/>
  <c r="G412" i="1"/>
  <c r="G411" i="1"/>
  <c r="G410" i="1"/>
  <c r="G409" i="1"/>
  <c r="G408" i="1"/>
  <c r="G407" i="1"/>
  <c r="G406" i="1"/>
  <c r="G405" i="1"/>
  <c r="G404" i="1"/>
  <c r="G403" i="1"/>
  <c r="G402" i="1"/>
  <c r="G401" i="1"/>
  <c r="G400" i="1"/>
  <c r="G399" i="1"/>
  <c r="G398" i="1"/>
  <c r="G397" i="1"/>
  <c r="G396" i="1"/>
  <c r="G395" i="1"/>
  <c r="G394" i="1"/>
  <c r="G393" i="1"/>
  <c r="G392" i="1"/>
  <c r="G391" i="1"/>
  <c r="G390" i="1"/>
  <c r="G389" i="1"/>
  <c r="G388" i="1"/>
  <c r="G387" i="1"/>
  <c r="G386" i="1"/>
  <c r="G385" i="1"/>
  <c r="G384" i="1"/>
  <c r="G383" i="1"/>
  <c r="G382" i="1"/>
  <c r="G381" i="1"/>
  <c r="G380" i="1"/>
  <c r="G379" i="1"/>
  <c r="G378" i="1"/>
  <c r="G377" i="1"/>
  <c r="G376" i="1"/>
  <c r="G375" i="1"/>
  <c r="G374" i="1"/>
  <c r="G373" i="1"/>
  <c r="G372" i="1"/>
  <c r="G371" i="1"/>
  <c r="G370" i="1"/>
  <c r="G369" i="1"/>
  <c r="G368" i="1"/>
  <c r="G367" i="1"/>
  <c r="G366" i="1"/>
  <c r="G365" i="1"/>
  <c r="G364" i="1"/>
  <c r="G363" i="1"/>
  <c r="G362" i="1"/>
  <c r="G361" i="1"/>
  <c r="G360" i="1"/>
  <c r="G359" i="1"/>
  <c r="G358" i="1"/>
  <c r="G357" i="1"/>
  <c r="G356" i="1"/>
  <c r="G355" i="1"/>
  <c r="G354" i="1"/>
  <c r="G353" i="1"/>
  <c r="G352" i="1"/>
  <c r="G351" i="1"/>
  <c r="G350" i="1"/>
  <c r="G349" i="1"/>
  <c r="G348" i="1"/>
  <c r="G347" i="1"/>
  <c r="G346" i="1"/>
  <c r="G345" i="1"/>
  <c r="G344" i="1"/>
  <c r="G343" i="1"/>
  <c r="G342" i="1"/>
  <c r="G341" i="1"/>
  <c r="G340" i="1"/>
  <c r="G339" i="1"/>
  <c r="G338" i="1"/>
  <c r="G337" i="1"/>
  <c r="G336" i="1"/>
  <c r="G335" i="1"/>
  <c r="G334" i="1"/>
  <c r="G333" i="1"/>
  <c r="G332" i="1"/>
  <c r="G331" i="1"/>
  <c r="G330" i="1"/>
  <c r="G329" i="1"/>
  <c r="G328" i="1"/>
  <c r="G327" i="1"/>
  <c r="G326" i="1"/>
  <c r="G325" i="1"/>
  <c r="G324" i="1"/>
  <c r="G323" i="1"/>
  <c r="G322" i="1"/>
  <c r="G321" i="1"/>
  <c r="G320" i="1"/>
  <c r="G319" i="1"/>
  <c r="G318" i="1"/>
  <c r="G317" i="1"/>
  <c r="G316" i="1"/>
  <c r="G315" i="1"/>
  <c r="G314" i="1"/>
  <c r="G313" i="1"/>
  <c r="G312" i="1"/>
  <c r="G311" i="1"/>
  <c r="G310" i="1"/>
  <c r="G309" i="1"/>
  <c r="G308" i="1"/>
  <c r="G307" i="1"/>
  <c r="G306" i="1"/>
  <c r="G305" i="1"/>
  <c r="G304" i="1"/>
  <c r="G303" i="1"/>
  <c r="G302" i="1"/>
  <c r="G301" i="1"/>
  <c r="G297" i="1"/>
  <c r="G298" i="1"/>
  <c r="G299" i="1"/>
  <c r="G300" i="1"/>
  <c r="G296" i="1"/>
  <c r="G295" i="1"/>
  <c r="G294" i="1"/>
  <c r="G293" i="1"/>
  <c r="G292" i="1"/>
  <c r="G291" i="1"/>
  <c r="G290" i="1"/>
  <c r="G289" i="1"/>
  <c r="G288" i="1"/>
  <c r="G287" i="1"/>
  <c r="G286" i="1"/>
  <c r="G285" i="1"/>
  <c r="G284" i="1"/>
  <c r="G283" i="1"/>
  <c r="G282" i="1"/>
  <c r="G281" i="1"/>
  <c r="G280" i="1"/>
  <c r="G279" i="1"/>
  <c r="G278" i="1"/>
  <c r="J5" i="2"/>
  <c r="K5" i="2"/>
  <c r="I5" i="2"/>
  <c r="O3" i="2"/>
  <c r="M225" i="1"/>
  <c r="N225" i="1"/>
  <c r="M226" i="1"/>
  <c r="N226" i="1"/>
  <c r="M227" i="1"/>
  <c r="N227" i="1"/>
  <c r="M228" i="1"/>
  <c r="N228" i="1"/>
  <c r="M229" i="1"/>
  <c r="N229" i="1"/>
  <c r="M230" i="1"/>
  <c r="N230" i="1"/>
  <c r="M231" i="1"/>
  <c r="N231" i="1"/>
  <c r="M232" i="1"/>
  <c r="N232" i="1"/>
  <c r="M233" i="1"/>
  <c r="N233" i="1"/>
  <c r="M234" i="1"/>
  <c r="N234" i="1"/>
  <c r="M235" i="1"/>
  <c r="N235" i="1"/>
  <c r="M236" i="1"/>
  <c r="N236" i="1"/>
  <c r="M237" i="1"/>
  <c r="N237" i="1"/>
  <c r="M238" i="1"/>
  <c r="N238" i="1"/>
  <c r="M239" i="1"/>
  <c r="N239" i="1"/>
  <c r="M240" i="1"/>
  <c r="N240" i="1"/>
  <c r="M241" i="1"/>
  <c r="N241" i="1"/>
  <c r="M242" i="1"/>
  <c r="N242" i="1"/>
  <c r="M243" i="1"/>
  <c r="N243" i="1"/>
  <c r="M244" i="1"/>
  <c r="N244" i="1"/>
  <c r="M245" i="1"/>
  <c r="N245" i="1"/>
  <c r="M246" i="1"/>
  <c r="N246" i="1"/>
  <c r="M247" i="1"/>
  <c r="N247" i="1"/>
  <c r="M248" i="1"/>
  <c r="N248" i="1"/>
  <c r="M249" i="1"/>
  <c r="N249" i="1"/>
  <c r="M250" i="1"/>
  <c r="N250" i="1"/>
  <c r="M251" i="1"/>
  <c r="N251" i="1"/>
  <c r="M252" i="1"/>
  <c r="N252" i="1"/>
  <c r="M253" i="1"/>
  <c r="N253" i="1"/>
  <c r="M254" i="1"/>
  <c r="N254" i="1"/>
  <c r="M255" i="1"/>
  <c r="N255" i="1"/>
  <c r="M256" i="1"/>
  <c r="N256" i="1"/>
  <c r="M257" i="1"/>
  <c r="N257" i="1"/>
  <c r="M258" i="1"/>
  <c r="N258" i="1"/>
  <c r="M259" i="1"/>
  <c r="N259" i="1"/>
  <c r="M260" i="1"/>
  <c r="N260" i="1"/>
  <c r="M261" i="1"/>
  <c r="N261" i="1"/>
  <c r="M262" i="1"/>
  <c r="N262" i="1"/>
  <c r="M263" i="1"/>
  <c r="N263" i="1"/>
  <c r="M264" i="1"/>
  <c r="N264" i="1"/>
  <c r="M265" i="1"/>
  <c r="N265" i="1"/>
  <c r="M266" i="1"/>
  <c r="N266" i="1"/>
  <c r="M267" i="1"/>
  <c r="N267" i="1"/>
  <c r="M268" i="1"/>
  <c r="N268" i="1"/>
  <c r="M269" i="1"/>
  <c r="N269" i="1"/>
  <c r="M270" i="1"/>
  <c r="N270" i="1"/>
  <c r="M271" i="1"/>
  <c r="N271" i="1"/>
  <c r="M272" i="1"/>
  <c r="N272" i="1"/>
  <c r="M273" i="1"/>
  <c r="N273" i="1"/>
  <c r="M274" i="1"/>
  <c r="N274" i="1"/>
  <c r="M275" i="1"/>
  <c r="N275" i="1"/>
  <c r="M276" i="1"/>
  <c r="N276" i="1"/>
  <c r="M277" i="1"/>
  <c r="N277" i="1"/>
  <c r="M278" i="1"/>
  <c r="N278" i="1"/>
  <c r="M279" i="1"/>
  <c r="N279" i="1"/>
  <c r="M280" i="1"/>
  <c r="N280" i="1"/>
  <c r="M281" i="1"/>
  <c r="N281" i="1"/>
  <c r="M282" i="1"/>
  <c r="N282" i="1"/>
  <c r="M283" i="1"/>
  <c r="N283" i="1"/>
  <c r="M284" i="1"/>
  <c r="N284" i="1"/>
  <c r="M285" i="1"/>
  <c r="N285" i="1"/>
  <c r="M286" i="1"/>
  <c r="N286" i="1"/>
  <c r="M287" i="1"/>
  <c r="N287" i="1"/>
  <c r="M288" i="1"/>
  <c r="N288" i="1"/>
  <c r="M289" i="1"/>
  <c r="N289" i="1"/>
  <c r="M290" i="1"/>
  <c r="N290" i="1"/>
  <c r="M291" i="1"/>
  <c r="N291" i="1"/>
  <c r="M292" i="1"/>
  <c r="N292" i="1"/>
  <c r="M293" i="1"/>
  <c r="N293" i="1"/>
  <c r="M294" i="1"/>
  <c r="N294" i="1"/>
  <c r="M295" i="1"/>
  <c r="N295" i="1"/>
  <c r="M296" i="1"/>
  <c r="N296" i="1"/>
  <c r="M297" i="1"/>
  <c r="N297" i="1"/>
  <c r="M298" i="1"/>
  <c r="N298" i="1"/>
  <c r="M299" i="1"/>
  <c r="N299" i="1"/>
  <c r="M300" i="1"/>
  <c r="N300" i="1"/>
  <c r="M301" i="1"/>
  <c r="N301" i="1"/>
  <c r="M302" i="1"/>
  <c r="N302" i="1"/>
  <c r="M303" i="1"/>
  <c r="N303" i="1"/>
  <c r="M304" i="1"/>
  <c r="N304" i="1"/>
  <c r="M305" i="1"/>
  <c r="N305" i="1"/>
  <c r="M306" i="1"/>
  <c r="N306" i="1"/>
  <c r="M307" i="1"/>
  <c r="N307" i="1"/>
  <c r="M308" i="1"/>
  <c r="N308" i="1"/>
  <c r="M309" i="1"/>
  <c r="N309" i="1"/>
  <c r="M310" i="1"/>
  <c r="N310" i="1"/>
  <c r="M311" i="1"/>
  <c r="N311" i="1"/>
  <c r="M312" i="1"/>
  <c r="N312" i="1"/>
  <c r="M313" i="1"/>
  <c r="N313" i="1"/>
  <c r="M314" i="1"/>
  <c r="N314" i="1"/>
  <c r="M315" i="1"/>
  <c r="N315" i="1"/>
  <c r="M316" i="1"/>
  <c r="N316" i="1"/>
  <c r="M317" i="1"/>
  <c r="N317" i="1"/>
  <c r="M318" i="1"/>
  <c r="N318" i="1"/>
  <c r="M319" i="1"/>
  <c r="N319" i="1"/>
  <c r="M320" i="1"/>
  <c r="N320" i="1"/>
  <c r="M321" i="1"/>
  <c r="N321" i="1"/>
  <c r="M322" i="1"/>
  <c r="N322" i="1"/>
  <c r="M323" i="1"/>
  <c r="N323" i="1"/>
  <c r="M324" i="1"/>
  <c r="N324" i="1"/>
  <c r="M325" i="1"/>
  <c r="N325" i="1"/>
  <c r="M326" i="1"/>
  <c r="N326" i="1"/>
  <c r="M327" i="1"/>
  <c r="N327" i="1"/>
  <c r="M328" i="1"/>
  <c r="N328" i="1"/>
  <c r="M329" i="1"/>
  <c r="N329" i="1"/>
  <c r="M330" i="1"/>
  <c r="N330" i="1"/>
  <c r="M331" i="1"/>
  <c r="N331" i="1"/>
  <c r="M332" i="1"/>
  <c r="N332" i="1"/>
  <c r="M333" i="1"/>
  <c r="N333" i="1"/>
  <c r="M334" i="1"/>
  <c r="N334" i="1"/>
  <c r="M335" i="1"/>
  <c r="N335" i="1"/>
  <c r="M336" i="1"/>
  <c r="N336" i="1"/>
  <c r="M337" i="1"/>
  <c r="N337" i="1"/>
  <c r="M338" i="1"/>
  <c r="N338" i="1"/>
  <c r="M339" i="1"/>
  <c r="N339" i="1"/>
  <c r="M340" i="1"/>
  <c r="N340" i="1"/>
  <c r="M341" i="1"/>
  <c r="N341" i="1"/>
  <c r="M342" i="1"/>
  <c r="N342" i="1"/>
  <c r="M343" i="1"/>
  <c r="N343" i="1"/>
  <c r="M344" i="1"/>
  <c r="N344" i="1"/>
  <c r="M345" i="1"/>
  <c r="N345" i="1"/>
  <c r="M346" i="1"/>
  <c r="N346" i="1"/>
  <c r="M347" i="1"/>
  <c r="N347" i="1"/>
  <c r="M348" i="1"/>
  <c r="N348" i="1"/>
  <c r="M349" i="1"/>
  <c r="N349" i="1"/>
  <c r="M350" i="1"/>
  <c r="N350" i="1"/>
  <c r="M351" i="1"/>
  <c r="N351" i="1"/>
  <c r="M352" i="1"/>
  <c r="N352" i="1"/>
  <c r="M353" i="1"/>
  <c r="N353" i="1"/>
  <c r="M354" i="1"/>
  <c r="N354" i="1"/>
  <c r="M355" i="1"/>
  <c r="N355" i="1"/>
  <c r="M356" i="1"/>
  <c r="N356" i="1"/>
  <c r="M357" i="1"/>
  <c r="N357" i="1"/>
  <c r="M358" i="1"/>
  <c r="N358" i="1"/>
  <c r="M359" i="1"/>
  <c r="N359" i="1"/>
  <c r="M360" i="1"/>
  <c r="N360" i="1"/>
  <c r="M361" i="1"/>
  <c r="N361" i="1"/>
  <c r="M362" i="1"/>
  <c r="N362" i="1"/>
  <c r="M363" i="1"/>
  <c r="N363" i="1"/>
  <c r="M364" i="1"/>
  <c r="N364" i="1"/>
  <c r="M365" i="1"/>
  <c r="N365" i="1"/>
  <c r="M366" i="1"/>
  <c r="N366" i="1"/>
  <c r="M367" i="1"/>
  <c r="N367" i="1"/>
  <c r="M368" i="1"/>
  <c r="N368" i="1"/>
  <c r="M369" i="1"/>
  <c r="N369" i="1"/>
  <c r="M370" i="1"/>
  <c r="N370" i="1"/>
  <c r="M371" i="1"/>
  <c r="N371" i="1"/>
  <c r="M372" i="1"/>
  <c r="N372" i="1"/>
  <c r="M373" i="1"/>
  <c r="N373" i="1"/>
  <c r="M374" i="1"/>
  <c r="N374" i="1"/>
  <c r="M375" i="1"/>
  <c r="N375" i="1"/>
  <c r="M376" i="1"/>
  <c r="N376" i="1"/>
  <c r="M377" i="1"/>
  <c r="N377" i="1"/>
  <c r="M378" i="1"/>
  <c r="N378" i="1"/>
  <c r="M379" i="1"/>
  <c r="N379" i="1"/>
  <c r="M380" i="1"/>
  <c r="N380" i="1"/>
  <c r="M381" i="1"/>
  <c r="N381" i="1"/>
  <c r="M382" i="1"/>
  <c r="N382" i="1"/>
  <c r="M383" i="1"/>
  <c r="N383" i="1"/>
  <c r="M384" i="1"/>
  <c r="N384" i="1"/>
  <c r="M385" i="1"/>
  <c r="N385" i="1"/>
  <c r="M386" i="1"/>
  <c r="N386" i="1"/>
  <c r="M387" i="1"/>
  <c r="N387" i="1"/>
  <c r="M388" i="1"/>
  <c r="N388" i="1"/>
  <c r="M389" i="1"/>
  <c r="N389" i="1"/>
  <c r="M390" i="1"/>
  <c r="N390" i="1"/>
  <c r="M391" i="1"/>
  <c r="N391" i="1"/>
  <c r="M392" i="1"/>
  <c r="N392" i="1"/>
  <c r="M393" i="1"/>
  <c r="N393" i="1"/>
  <c r="M394" i="1"/>
  <c r="N394" i="1"/>
  <c r="M395" i="1"/>
  <c r="N395" i="1"/>
  <c r="M396" i="1"/>
  <c r="N396" i="1"/>
  <c r="M397" i="1"/>
  <c r="N397" i="1"/>
  <c r="M398" i="1"/>
  <c r="N398" i="1"/>
  <c r="M399" i="1"/>
  <c r="N399" i="1"/>
  <c r="M400" i="1"/>
  <c r="N400" i="1"/>
  <c r="M401" i="1"/>
  <c r="N401" i="1"/>
  <c r="M402" i="1"/>
  <c r="N402" i="1"/>
  <c r="M403" i="1"/>
  <c r="N403" i="1"/>
  <c r="M404" i="1"/>
  <c r="N404" i="1"/>
  <c r="M405" i="1"/>
  <c r="N405" i="1"/>
  <c r="M406" i="1"/>
  <c r="N406" i="1"/>
  <c r="M407" i="1"/>
  <c r="N407" i="1"/>
  <c r="M408" i="1"/>
  <c r="N408" i="1"/>
  <c r="M409" i="1"/>
  <c r="N409" i="1"/>
  <c r="M410" i="1"/>
  <c r="N410" i="1"/>
  <c r="M411" i="1"/>
  <c r="N411" i="1"/>
  <c r="M412" i="1"/>
  <c r="N412" i="1"/>
  <c r="M413" i="1"/>
  <c r="N413" i="1"/>
  <c r="M414" i="1"/>
  <c r="N414" i="1"/>
  <c r="M415" i="1"/>
  <c r="N415" i="1"/>
  <c r="M416" i="1"/>
  <c r="N416" i="1"/>
  <c r="M417" i="1"/>
  <c r="N417" i="1"/>
  <c r="M418" i="1"/>
  <c r="N418" i="1"/>
  <c r="M419" i="1"/>
  <c r="N419" i="1"/>
  <c r="M420" i="1"/>
  <c r="N420" i="1"/>
  <c r="M421" i="1"/>
  <c r="N421" i="1"/>
  <c r="M422" i="1"/>
  <c r="N422" i="1"/>
  <c r="M423" i="1"/>
  <c r="N423" i="1"/>
  <c r="M424" i="1"/>
  <c r="N424" i="1"/>
  <c r="M425" i="1"/>
  <c r="N425" i="1"/>
  <c r="M426" i="1"/>
  <c r="N426" i="1"/>
  <c r="M427" i="1"/>
  <c r="N427" i="1"/>
  <c r="M428" i="1"/>
  <c r="N428" i="1"/>
  <c r="M429" i="1"/>
  <c r="N429" i="1"/>
  <c r="M430" i="1"/>
  <c r="N430" i="1"/>
  <c r="M431" i="1"/>
  <c r="N431" i="1"/>
  <c r="M432" i="1"/>
  <c r="N432" i="1"/>
  <c r="M433" i="1"/>
  <c r="N433" i="1"/>
  <c r="M434" i="1"/>
  <c r="N434" i="1"/>
  <c r="M435" i="1"/>
  <c r="N435" i="1"/>
  <c r="M436" i="1"/>
  <c r="N436" i="1"/>
  <c r="M437" i="1"/>
  <c r="N437" i="1"/>
  <c r="M438" i="1"/>
  <c r="N438" i="1"/>
  <c r="M439" i="1"/>
  <c r="N439" i="1"/>
  <c r="M440" i="1"/>
  <c r="N440" i="1"/>
  <c r="M441" i="1"/>
  <c r="N441" i="1"/>
  <c r="M442" i="1"/>
  <c r="N442" i="1"/>
  <c r="M443" i="1"/>
  <c r="N443" i="1"/>
  <c r="M444" i="1"/>
  <c r="N444" i="1"/>
  <c r="M445" i="1"/>
  <c r="N445" i="1"/>
  <c r="M446" i="1"/>
  <c r="N446" i="1"/>
  <c r="M447" i="1"/>
  <c r="N447" i="1"/>
  <c r="M448" i="1"/>
  <c r="N448" i="1"/>
  <c r="M449" i="1"/>
  <c r="N449" i="1"/>
  <c r="M450" i="1"/>
  <c r="N450" i="1"/>
  <c r="M451" i="1"/>
  <c r="N451" i="1"/>
  <c r="M452" i="1"/>
  <c r="N452" i="1"/>
  <c r="M453" i="1"/>
  <c r="N453" i="1"/>
  <c r="M454" i="1"/>
  <c r="N454" i="1"/>
  <c r="M455" i="1"/>
  <c r="N455" i="1"/>
  <c r="M456" i="1"/>
  <c r="N456" i="1"/>
  <c r="M457" i="1"/>
  <c r="N457" i="1"/>
  <c r="M458" i="1"/>
  <c r="N458" i="1"/>
  <c r="M459" i="1"/>
  <c r="N459" i="1"/>
  <c r="M460" i="1"/>
  <c r="N460" i="1"/>
  <c r="M461" i="1"/>
  <c r="N461" i="1"/>
  <c r="M462" i="1"/>
  <c r="N462" i="1"/>
  <c r="M463" i="1"/>
  <c r="N463" i="1"/>
  <c r="M464" i="1"/>
  <c r="N464" i="1"/>
  <c r="M465" i="1"/>
  <c r="N465" i="1"/>
  <c r="M466" i="1"/>
  <c r="N466" i="1"/>
  <c r="M467" i="1"/>
  <c r="N467" i="1"/>
  <c r="M468" i="1"/>
  <c r="N468" i="1"/>
  <c r="M469" i="1"/>
  <c r="N469" i="1"/>
  <c r="M470" i="1"/>
  <c r="N470" i="1"/>
  <c r="M471" i="1"/>
  <c r="N471" i="1"/>
  <c r="M472" i="1"/>
  <c r="N472" i="1"/>
  <c r="M473" i="1"/>
  <c r="N473" i="1"/>
  <c r="M474" i="1"/>
  <c r="N474" i="1"/>
  <c r="M475" i="1"/>
  <c r="N475" i="1"/>
  <c r="M476" i="1"/>
  <c r="N476" i="1"/>
  <c r="M477" i="1"/>
  <c r="N477" i="1"/>
  <c r="M478" i="1"/>
  <c r="N478" i="1"/>
  <c r="M479" i="1"/>
  <c r="N479" i="1"/>
  <c r="M480" i="1"/>
  <c r="N480" i="1"/>
  <c r="M481" i="1"/>
  <c r="N481" i="1"/>
  <c r="M482" i="1"/>
  <c r="N482" i="1"/>
  <c r="M483" i="1"/>
  <c r="N483" i="1"/>
  <c r="M484" i="1"/>
  <c r="N484" i="1"/>
  <c r="M485" i="1"/>
  <c r="N485" i="1"/>
  <c r="M486" i="1"/>
  <c r="N486" i="1"/>
  <c r="M487" i="1"/>
  <c r="N487" i="1"/>
  <c r="M488" i="1"/>
  <c r="N488" i="1"/>
  <c r="M489" i="1"/>
  <c r="N489" i="1"/>
  <c r="M490" i="1"/>
  <c r="N490" i="1"/>
  <c r="M491" i="1"/>
  <c r="N491" i="1"/>
  <c r="M492" i="1"/>
  <c r="N492" i="1"/>
  <c r="M493" i="1"/>
  <c r="N493" i="1"/>
  <c r="M494" i="1"/>
  <c r="N494" i="1"/>
  <c r="M495" i="1"/>
  <c r="N495" i="1"/>
  <c r="M496" i="1"/>
  <c r="N496" i="1"/>
  <c r="M497" i="1"/>
  <c r="N497" i="1"/>
  <c r="M498" i="1"/>
  <c r="N498" i="1"/>
  <c r="M499" i="1"/>
  <c r="N499" i="1"/>
  <c r="M500" i="1"/>
  <c r="N500" i="1"/>
  <c r="M501" i="1"/>
  <c r="N501" i="1"/>
  <c r="M502" i="1"/>
  <c r="N502" i="1"/>
  <c r="M503" i="1"/>
  <c r="N503" i="1"/>
  <c r="M504" i="1"/>
  <c r="N504" i="1"/>
  <c r="M2" i="1"/>
  <c r="N2" i="1"/>
  <c r="M3" i="1"/>
  <c r="N3" i="1"/>
  <c r="M4" i="1"/>
  <c r="N4" i="1"/>
  <c r="M5" i="1"/>
  <c r="N5" i="1"/>
  <c r="M6" i="1"/>
  <c r="N6" i="1"/>
  <c r="M7" i="1"/>
  <c r="N7" i="1"/>
  <c r="M8" i="1"/>
  <c r="N8" i="1"/>
  <c r="M9" i="1"/>
  <c r="N9" i="1"/>
  <c r="M10" i="1"/>
  <c r="N10" i="1"/>
  <c r="M11" i="1"/>
  <c r="N11" i="1"/>
  <c r="M12" i="1"/>
  <c r="N12" i="1"/>
  <c r="M13" i="1"/>
  <c r="N13" i="1"/>
  <c r="M14" i="1"/>
  <c r="N14" i="1"/>
  <c r="M15" i="1"/>
  <c r="N15" i="1"/>
  <c r="M16" i="1"/>
  <c r="N16" i="1"/>
  <c r="M17" i="1"/>
  <c r="N17" i="1"/>
  <c r="M18" i="1"/>
  <c r="N18" i="1"/>
  <c r="M19" i="1"/>
  <c r="N19" i="1"/>
  <c r="M20" i="1"/>
  <c r="N20" i="1"/>
  <c r="M21" i="1"/>
  <c r="N21" i="1"/>
  <c r="M22" i="1"/>
  <c r="N22" i="1"/>
  <c r="M23" i="1"/>
  <c r="N23" i="1"/>
  <c r="M24" i="1"/>
  <c r="N24" i="1"/>
  <c r="M25" i="1"/>
  <c r="N25" i="1"/>
  <c r="M26" i="1"/>
  <c r="N26" i="1"/>
  <c r="M27" i="1"/>
  <c r="N27" i="1"/>
  <c r="M28" i="1"/>
  <c r="N28" i="1"/>
  <c r="M29" i="1"/>
  <c r="N29" i="1"/>
  <c r="M30" i="1"/>
  <c r="N30" i="1"/>
  <c r="M31" i="1"/>
  <c r="N31" i="1"/>
  <c r="M32" i="1"/>
  <c r="N32" i="1"/>
  <c r="M33" i="1"/>
  <c r="N33" i="1"/>
  <c r="M34" i="1"/>
  <c r="N34" i="1"/>
  <c r="M35" i="1"/>
  <c r="N35" i="1"/>
  <c r="M36" i="1"/>
  <c r="N36" i="1"/>
  <c r="M37" i="1"/>
  <c r="N37" i="1"/>
  <c r="M38" i="1"/>
  <c r="N38" i="1"/>
  <c r="M39" i="1"/>
  <c r="N39" i="1"/>
  <c r="M40" i="1"/>
  <c r="N40" i="1"/>
  <c r="M41" i="1"/>
  <c r="N41" i="1"/>
  <c r="M42" i="1"/>
  <c r="N42" i="1"/>
  <c r="M43" i="1"/>
  <c r="N43" i="1"/>
  <c r="M44" i="1"/>
  <c r="N44" i="1"/>
  <c r="M45" i="1"/>
  <c r="N45" i="1"/>
  <c r="M46" i="1"/>
  <c r="N46" i="1"/>
  <c r="M47" i="1"/>
  <c r="N47" i="1"/>
  <c r="M48" i="1"/>
  <c r="N48" i="1"/>
  <c r="M49" i="1"/>
  <c r="N49" i="1"/>
  <c r="M50" i="1"/>
  <c r="N50" i="1"/>
  <c r="M51" i="1"/>
  <c r="N51" i="1"/>
  <c r="M52" i="1"/>
  <c r="N52" i="1"/>
  <c r="M53" i="1"/>
  <c r="N53" i="1"/>
  <c r="M54" i="1"/>
  <c r="N54" i="1"/>
  <c r="M55" i="1"/>
  <c r="N55" i="1"/>
  <c r="M56" i="1"/>
  <c r="N56" i="1"/>
  <c r="M57" i="1"/>
  <c r="N57" i="1"/>
  <c r="M58" i="1"/>
  <c r="N58" i="1"/>
  <c r="M59" i="1"/>
  <c r="N59" i="1"/>
  <c r="M60" i="1"/>
  <c r="N60" i="1"/>
  <c r="M61" i="1"/>
  <c r="N61" i="1"/>
  <c r="M62" i="1"/>
  <c r="N62" i="1"/>
  <c r="M63" i="1"/>
  <c r="N63" i="1"/>
  <c r="M64" i="1"/>
  <c r="N64" i="1"/>
  <c r="M65" i="1"/>
  <c r="N65" i="1"/>
  <c r="M66" i="1"/>
  <c r="N66" i="1"/>
  <c r="M67" i="1"/>
  <c r="N67" i="1"/>
  <c r="M68" i="1"/>
  <c r="N68" i="1"/>
  <c r="M69" i="1"/>
  <c r="N69" i="1"/>
  <c r="M70" i="1"/>
  <c r="N70" i="1"/>
  <c r="M71" i="1"/>
  <c r="N71" i="1"/>
  <c r="M72" i="1"/>
  <c r="N72" i="1"/>
  <c r="M73" i="1"/>
  <c r="N73" i="1"/>
  <c r="M74" i="1"/>
  <c r="N74" i="1"/>
  <c r="M75" i="1"/>
  <c r="N75" i="1"/>
  <c r="M76" i="1"/>
  <c r="N76" i="1"/>
  <c r="M77" i="1"/>
  <c r="N77" i="1"/>
  <c r="M78" i="1"/>
  <c r="N78" i="1"/>
  <c r="M79" i="1"/>
  <c r="N79" i="1"/>
  <c r="M80" i="1"/>
  <c r="N80" i="1"/>
  <c r="M81" i="1"/>
  <c r="N81" i="1"/>
  <c r="M82" i="1"/>
  <c r="N82" i="1"/>
  <c r="M83" i="1"/>
  <c r="N83" i="1"/>
  <c r="M84" i="1"/>
  <c r="N84" i="1"/>
  <c r="M85" i="1"/>
  <c r="N85" i="1"/>
  <c r="M86" i="1"/>
  <c r="N86" i="1"/>
  <c r="M87" i="1"/>
  <c r="N87" i="1"/>
  <c r="M88" i="1"/>
  <c r="N88" i="1"/>
  <c r="M89" i="1"/>
  <c r="N89" i="1"/>
  <c r="M90" i="1"/>
  <c r="N90" i="1"/>
  <c r="M91" i="1"/>
  <c r="N91" i="1"/>
  <c r="M92" i="1"/>
  <c r="N92" i="1"/>
  <c r="M93" i="1"/>
  <c r="N93" i="1"/>
  <c r="M94" i="1"/>
  <c r="N94" i="1"/>
  <c r="M95" i="1"/>
  <c r="N95" i="1"/>
  <c r="M96" i="1"/>
  <c r="N96" i="1"/>
  <c r="M97" i="1"/>
  <c r="N97" i="1"/>
  <c r="M98" i="1"/>
  <c r="N98" i="1"/>
  <c r="M99" i="1"/>
  <c r="N99" i="1"/>
  <c r="M100" i="1"/>
  <c r="N100" i="1"/>
  <c r="M101" i="1"/>
  <c r="N101" i="1"/>
  <c r="M102" i="1"/>
  <c r="N102" i="1"/>
  <c r="M103" i="1"/>
  <c r="N103" i="1"/>
  <c r="M104" i="1"/>
  <c r="N104" i="1"/>
  <c r="M105" i="1"/>
  <c r="N105" i="1"/>
  <c r="M106" i="1"/>
  <c r="N106" i="1"/>
  <c r="M107" i="1"/>
  <c r="N107" i="1"/>
  <c r="M108" i="1"/>
  <c r="N108" i="1"/>
  <c r="M109" i="1"/>
  <c r="N109" i="1"/>
  <c r="M110" i="1"/>
  <c r="N110" i="1"/>
  <c r="M111" i="1"/>
  <c r="N111" i="1"/>
  <c r="M112" i="1"/>
  <c r="N112" i="1"/>
  <c r="M113" i="1"/>
  <c r="N113" i="1"/>
  <c r="M114" i="1"/>
  <c r="N114" i="1"/>
  <c r="M115" i="1"/>
  <c r="N115" i="1"/>
  <c r="M116" i="1"/>
  <c r="N116" i="1"/>
  <c r="M117" i="1"/>
  <c r="N117" i="1"/>
  <c r="M118" i="1"/>
  <c r="N118" i="1"/>
  <c r="M119" i="1"/>
  <c r="N119" i="1"/>
  <c r="M120" i="1"/>
  <c r="N120" i="1"/>
  <c r="M121" i="1"/>
  <c r="N121" i="1"/>
  <c r="M122" i="1"/>
  <c r="N122" i="1"/>
  <c r="M123" i="1"/>
  <c r="N123" i="1"/>
  <c r="M124" i="1"/>
  <c r="N124" i="1"/>
  <c r="M125" i="1"/>
  <c r="N125" i="1"/>
  <c r="M126" i="1"/>
  <c r="N126" i="1"/>
  <c r="M127" i="1"/>
  <c r="N127" i="1"/>
  <c r="M128" i="1"/>
  <c r="N128" i="1"/>
  <c r="M129" i="1"/>
  <c r="N129" i="1"/>
  <c r="M130" i="1"/>
  <c r="N130" i="1"/>
  <c r="M131" i="1"/>
  <c r="N131" i="1"/>
  <c r="M132" i="1"/>
  <c r="N132" i="1"/>
  <c r="M133" i="1"/>
  <c r="N133" i="1"/>
  <c r="M134" i="1"/>
  <c r="N134" i="1"/>
  <c r="M135" i="1"/>
  <c r="N135" i="1"/>
  <c r="M136" i="1"/>
  <c r="N136" i="1"/>
  <c r="M137" i="1"/>
  <c r="N137" i="1"/>
  <c r="M138" i="1"/>
  <c r="N138" i="1"/>
  <c r="M139" i="1"/>
  <c r="N139" i="1"/>
  <c r="M140" i="1"/>
  <c r="N140" i="1"/>
  <c r="M141" i="1"/>
  <c r="N141" i="1"/>
  <c r="M142" i="1"/>
  <c r="N142" i="1"/>
  <c r="M143" i="1"/>
  <c r="N143" i="1"/>
  <c r="M144" i="1"/>
  <c r="N144" i="1"/>
  <c r="M145" i="1"/>
  <c r="N145" i="1"/>
  <c r="M146" i="1"/>
  <c r="N146" i="1"/>
  <c r="M147" i="1"/>
  <c r="N147" i="1"/>
  <c r="M148" i="1"/>
  <c r="N148" i="1"/>
  <c r="M149" i="1"/>
  <c r="N149" i="1"/>
  <c r="M150" i="1"/>
  <c r="N150" i="1"/>
  <c r="M151" i="1"/>
  <c r="N151" i="1"/>
  <c r="M152" i="1"/>
  <c r="N152" i="1"/>
  <c r="M153" i="1"/>
  <c r="N153" i="1"/>
  <c r="M154" i="1"/>
  <c r="N154" i="1"/>
  <c r="M155" i="1"/>
  <c r="N155" i="1"/>
  <c r="M156" i="1"/>
  <c r="N156" i="1"/>
  <c r="M157" i="1"/>
  <c r="N157" i="1"/>
  <c r="M158" i="1"/>
  <c r="N158" i="1"/>
  <c r="M159" i="1"/>
  <c r="N159" i="1"/>
  <c r="M160" i="1"/>
  <c r="N160" i="1"/>
  <c r="M161" i="1"/>
  <c r="N161" i="1"/>
  <c r="M162" i="1"/>
  <c r="N162" i="1"/>
  <c r="M163" i="1"/>
  <c r="N163" i="1"/>
  <c r="M164" i="1"/>
  <c r="N164" i="1"/>
  <c r="M165" i="1"/>
  <c r="N165" i="1"/>
  <c r="M166" i="1"/>
  <c r="N166" i="1"/>
  <c r="M167" i="1"/>
  <c r="N167" i="1"/>
  <c r="M168" i="1"/>
  <c r="N168" i="1"/>
  <c r="M169" i="1"/>
  <c r="N169" i="1"/>
  <c r="M170" i="1"/>
  <c r="N170" i="1"/>
  <c r="M171" i="1"/>
  <c r="N171" i="1"/>
  <c r="M172" i="1"/>
  <c r="N172" i="1"/>
  <c r="M173" i="1"/>
  <c r="N173" i="1"/>
  <c r="M174" i="1"/>
  <c r="N174" i="1"/>
  <c r="M175" i="1"/>
  <c r="N175" i="1"/>
  <c r="M176" i="1"/>
  <c r="N176" i="1"/>
  <c r="M177" i="1"/>
  <c r="N177" i="1"/>
  <c r="M178" i="1"/>
  <c r="N178" i="1"/>
  <c r="M179" i="1"/>
  <c r="N179" i="1"/>
  <c r="M180" i="1"/>
  <c r="N180" i="1"/>
  <c r="M181" i="1"/>
  <c r="N181" i="1"/>
  <c r="M182" i="1"/>
  <c r="N182" i="1"/>
  <c r="M183" i="1"/>
  <c r="N183" i="1"/>
  <c r="M184" i="1"/>
  <c r="N184" i="1"/>
  <c r="M185" i="1"/>
  <c r="N185" i="1"/>
  <c r="M186" i="1"/>
  <c r="N186" i="1"/>
  <c r="M187" i="1"/>
  <c r="N187" i="1"/>
  <c r="M188" i="1"/>
  <c r="N188" i="1"/>
  <c r="M189" i="1"/>
  <c r="N189" i="1"/>
  <c r="M190" i="1"/>
  <c r="N190" i="1"/>
  <c r="M191" i="1"/>
  <c r="N191" i="1"/>
  <c r="M192" i="1"/>
  <c r="N192" i="1"/>
  <c r="M193" i="1"/>
  <c r="N193" i="1"/>
  <c r="M194" i="1"/>
  <c r="N194" i="1"/>
  <c r="M195" i="1"/>
  <c r="N195" i="1"/>
  <c r="M196" i="1"/>
  <c r="N196" i="1"/>
  <c r="M197" i="1"/>
  <c r="N197" i="1"/>
  <c r="M198" i="1"/>
  <c r="N198" i="1"/>
  <c r="M199" i="1"/>
  <c r="N199" i="1"/>
  <c r="M200" i="1"/>
  <c r="N200" i="1"/>
  <c r="M201" i="1"/>
  <c r="N201" i="1"/>
  <c r="M202" i="1"/>
  <c r="N202" i="1"/>
  <c r="M203" i="1"/>
  <c r="N203" i="1"/>
  <c r="M204" i="1"/>
  <c r="N204" i="1"/>
  <c r="M205" i="1"/>
  <c r="N205" i="1"/>
  <c r="M206" i="1"/>
  <c r="N206" i="1"/>
  <c r="M207" i="1"/>
  <c r="N207" i="1"/>
  <c r="M208" i="1"/>
  <c r="N208" i="1"/>
  <c r="M209" i="1"/>
  <c r="N209" i="1"/>
  <c r="M210" i="1"/>
  <c r="N210" i="1"/>
  <c r="M211" i="1"/>
  <c r="N211" i="1"/>
  <c r="M212" i="1"/>
  <c r="N212" i="1"/>
  <c r="M213" i="1"/>
  <c r="N213" i="1"/>
  <c r="M214" i="1"/>
  <c r="N214" i="1"/>
  <c r="M215" i="1"/>
  <c r="N215" i="1"/>
  <c r="M216" i="1"/>
  <c r="N216" i="1"/>
  <c r="M217" i="1"/>
  <c r="N217" i="1"/>
  <c r="M218" i="1"/>
  <c r="N218" i="1"/>
  <c r="M219" i="1"/>
  <c r="N219" i="1"/>
  <c r="M220" i="1"/>
  <c r="N220" i="1"/>
  <c r="M221" i="1"/>
  <c r="N221" i="1"/>
  <c r="M222" i="1"/>
  <c r="N222" i="1"/>
  <c r="M223" i="1"/>
  <c r="N223" i="1"/>
  <c r="G224" i="1"/>
  <c r="M224" i="1"/>
  <c r="N224" i="1"/>
  <c r="G44" i="3"/>
  <c r="G41" i="3"/>
  <c r="G39" i="3"/>
  <c r="G37" i="3"/>
  <c r="K8" i="3"/>
  <c r="J8" i="3"/>
  <c r="I8" i="3"/>
  <c r="I22" i="3" s="1"/>
  <c r="H8" i="3"/>
  <c r="I24" i="3" s="1"/>
  <c r="G8" i="3"/>
  <c r="K4" i="3"/>
  <c r="J4" i="3"/>
  <c r="I4" i="3"/>
  <c r="I14" i="3" s="1"/>
  <c r="G30" i="3" s="1"/>
  <c r="H4" i="3"/>
  <c r="G4" i="3"/>
  <c r="K2" i="3"/>
  <c r="H20" i="3" s="1"/>
  <c r="G36" i="3" s="1"/>
  <c r="J2" i="3"/>
  <c r="I18" i="3" s="1"/>
  <c r="G34" i="3" s="1"/>
  <c r="I2" i="3"/>
  <c r="J17" i="3" s="1"/>
  <c r="G17" i="3" s="1" a="1"/>
  <c r="G17" i="3" s="1"/>
  <c r="G33" i="3" s="1"/>
  <c r="H2" i="3"/>
  <c r="G2" i="3"/>
  <c r="N9" i="2"/>
  <c r="M7" i="2"/>
  <c r="A41" i="3"/>
  <c r="A39" i="3"/>
  <c r="A37" i="3"/>
  <c r="N11" i="2"/>
  <c r="M11" i="2"/>
  <c r="L11" i="2"/>
  <c r="K11" i="2"/>
  <c r="J11" i="2"/>
  <c r="I11" i="2"/>
  <c r="O9" i="2"/>
  <c r="M9" i="2"/>
  <c r="L9" i="2"/>
  <c r="K9" i="2"/>
  <c r="J9" i="2"/>
  <c r="I9" i="2"/>
  <c r="O7" i="2"/>
  <c r="N7" i="2"/>
  <c r="L7" i="2"/>
  <c r="K7" i="2"/>
  <c r="J7" i="2"/>
  <c r="I7" i="2"/>
  <c r="O5" i="2"/>
  <c r="N5" i="2"/>
  <c r="M5" i="2"/>
  <c r="L5" i="2"/>
  <c r="J13" i="2"/>
  <c r="D8" i="3"/>
  <c r="C8" i="3"/>
  <c r="C22" i="3" s="1"/>
  <c r="E22" i="3" s="1" a="1"/>
  <c r="E22" i="3" s="1"/>
  <c r="B8" i="3"/>
  <c r="C24" i="3" s="1"/>
  <c r="A8" i="3"/>
  <c r="D4" i="3"/>
  <c r="B4" i="3"/>
  <c r="A4" i="3"/>
  <c r="D2" i="3"/>
  <c r="C18" i="3" s="1"/>
  <c r="A34" i="3" s="1"/>
  <c r="C2" i="3"/>
  <c r="D17" i="3" s="1"/>
  <c r="A17" i="3" s="1" a="1"/>
  <c r="A17" i="3" s="1"/>
  <c r="D3" i="2"/>
  <c r="O13" i="2"/>
  <c r="E11" i="2"/>
  <c r="F11" i="2"/>
  <c r="D11" i="2"/>
  <c r="C11" i="2"/>
  <c r="B11" i="2"/>
  <c r="A11" i="2"/>
  <c r="G9" i="2"/>
  <c r="F9" i="2"/>
  <c r="E9" i="2"/>
  <c r="D9" i="2"/>
  <c r="C9" i="2"/>
  <c r="B9" i="2"/>
  <c r="A9" i="2"/>
  <c r="G7" i="2"/>
  <c r="F7" i="2"/>
  <c r="E7" i="2"/>
  <c r="D7" i="2"/>
  <c r="C7" i="2"/>
  <c r="B7" i="2"/>
  <c r="A7" i="2"/>
  <c r="G5" i="2"/>
  <c r="F5" i="2"/>
  <c r="E5" i="2"/>
  <c r="D5" i="2"/>
  <c r="C5" i="2"/>
  <c r="B5" i="2"/>
  <c r="A5" i="2"/>
  <c r="G3" i="2"/>
  <c r="F3" i="2"/>
  <c r="E3" i="2"/>
  <c r="K12" i="3" l="1"/>
  <c r="H12" i="3" a="1"/>
  <c r="H12" i="3" s="1"/>
  <c r="G28" i="3" s="1"/>
  <c r="I26" i="3"/>
  <c r="J16" i="3"/>
  <c r="H16" i="3" s="1" a="1"/>
  <c r="H16" i="3" s="1"/>
  <c r="G32" i="3" s="1"/>
  <c r="K13" i="3"/>
  <c r="H13" i="3" a="1"/>
  <c r="H13" i="3" s="1"/>
  <c r="G29" i="3" s="1"/>
  <c r="K22" i="3" a="1"/>
  <c r="K22" i="3" s="1"/>
  <c r="G38" i="3" s="1"/>
  <c r="I13" i="2"/>
  <c r="D13" i="2"/>
  <c r="G13" i="2"/>
  <c r="C13" i="2"/>
  <c r="B13" i="2"/>
  <c r="E13" i="2"/>
  <c r="N13" i="2"/>
  <c r="A13" i="2"/>
  <c r="F13" i="2"/>
  <c r="K13" i="2"/>
  <c r="L13" i="2"/>
  <c r="A33" i="3"/>
  <c r="B13" i="3" a="1"/>
  <c r="B13" i="3" s="1"/>
  <c r="E13" i="3"/>
  <c r="C4" i="3"/>
  <c r="C14" i="3" s="1"/>
  <c r="A30" i="3" s="1"/>
  <c r="A2" i="3"/>
  <c r="B12" i="3" s="1" a="1"/>
  <c r="B12" i="3" s="1"/>
  <c r="E8" i="3"/>
  <c r="F20" i="3" s="1"/>
  <c r="E4" i="3"/>
  <c r="E2" i="3"/>
  <c r="B20" i="3" s="1"/>
  <c r="B2" i="3"/>
  <c r="C26" i="3" s="1"/>
  <c r="K26" i="3" l="1" a="1"/>
  <c r="K26" i="3" s="1"/>
  <c r="K24" i="3" a="1"/>
  <c r="K24" i="3" s="1"/>
  <c r="G40" i="3" s="1"/>
  <c r="M13" i="2"/>
  <c r="P13" i="2" s="1"/>
  <c r="A36" i="3"/>
  <c r="A38" i="3"/>
  <c r="A29" i="3"/>
  <c r="D16" i="3"/>
  <c r="E26" i="3" a="1"/>
  <c r="E26" i="3" s="1"/>
  <c r="A42" i="3" s="1"/>
  <c r="E12" i="3"/>
  <c r="A28" i="3" s="1"/>
  <c r="A44" i="3" l="1"/>
  <c r="G42" i="3"/>
  <c r="B16" i="3" a="1"/>
  <c r="B16" i="3" s="1"/>
  <c r="A32" i="3" s="1"/>
  <c r="E24" i="3" a="1"/>
  <c r="E24" i="3" s="1"/>
  <c r="A40"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<sst xmlns="http://schemas.openxmlformats.org/spreadsheetml/2006/main" count="5483" uniqueCount="3017">
  <si>
    <t>Nome da fonte</t>
  </si>
  <si>
    <t>Fundidora</t>
  </si>
  <si>
    <t>Designer</t>
  </si>
  <si>
    <t>Preço Individual</t>
  </si>
  <si>
    <t>Preço Completo</t>
  </si>
  <si>
    <t>Quantidade de Estilos</t>
  </si>
  <si>
    <t>PreçoMin/Font</t>
  </si>
  <si>
    <t>Estreia MyFonts</t>
  </si>
  <si>
    <t>Imagem</t>
  </si>
  <si>
    <t>Link</t>
  </si>
  <si>
    <t>Tags</t>
  </si>
  <si>
    <t>Variable</t>
  </si>
  <si>
    <t>Lançamentos/Foundrys</t>
  </si>
  <si>
    <t>Lançamentos/Dia</t>
  </si>
  <si>
    <t>Lançamentos por Dia</t>
  </si>
  <si>
    <t>SNS Dear Branch</t>
  </si>
  <si>
    <t>Sans And Sons</t>
  </si>
  <si>
    <t>Angga Suwista</t>
  </si>
  <si>
    <t>R$ 102,15</t>
  </si>
  <si>
    <t>R$ 155,91</t>
  </si>
  <si>
    <t>R$ 19,49</t>
  </si>
  <si>
    <t>imagens\SNS_Dear_Branch.png</t>
  </si>
  <si>
    <t>https://www.myfonts.com/pt/collections/sns-dear-branch-font-sans-and-sons</t>
  </si>
  <si>
    <t>Modern Font, Canva Font, Procreate Font, Vintage Font, Serif Font, Signature Font, Groovy Font, Lovely Font, Logo Font, Retro Font, Popular Font, Chic Font, Branding Font, High Fashion, Font Family, Luxury Font, Roman Font, Italian, Handmade, Classic Font</t>
  </si>
  <si>
    <t>Não</t>
  </si>
  <si>
    <t>MC Kelyber Conieks</t>
  </si>
  <si>
    <t>Maulana Creative</t>
  </si>
  <si>
    <t>Gilang Maulana</t>
  </si>
  <si>
    <t>R$ 59,14</t>
  </si>
  <si>
    <t>imagens\MC_Kelyber_Conieks.png</t>
  </si>
  <si>
    <t>https://www.myfonts.com/pt/collections/mc-kelyber-conieks-font-maulana-creative</t>
  </si>
  <si>
    <t>Handwritten Font, Signature Script, Elegant Script, Modern Calligraphy, Wedding Font, Branding Font, Luxury Script, Logo Design, Beauty Brand, Fashion Font, Feminine Font, Script Typeface, Hand Drawn, Flowing Script, Stylish Script, Personal Use, Product Label, Signature Style, Elegant Typeface, Natural Script</t>
  </si>
  <si>
    <t>Siren</t>
  </si>
  <si>
    <t>Sensatype Studio</t>
  </si>
  <si>
    <t>Zamroni Hamzah</t>
  </si>
  <si>
    <t>R$ 80,64</t>
  </si>
  <si>
    <t>imagens\Siren.png</t>
  </si>
  <si>
    <t>https://www.myfonts.com/pt/collections/siren-font-sensatype-studio</t>
  </si>
  <si>
    <t>Luxury Fonts, Luxury Font, Ocean, Sea, Lavish Font, Siren, Luxury, Lavish, Font, Elegant, Branding, Editorial, Sophisticated, Serif, Typography, Stylish, Modern, Classic, Design, Typeface</t>
  </si>
  <si>
    <t>Brasstape</t>
  </si>
  <si>
    <t>madeDeduk</t>
  </si>
  <si>
    <t>madededuk</t>
  </si>
  <si>
    <t>R$ 91,40</t>
  </si>
  <si>
    <t>R$ 45,70</t>
  </si>
  <si>
    <t>imagens\Brasstape.png</t>
  </si>
  <si>
    <t>https://www.myfonts.com/pt/collections/brasstape-font-made-deduk</t>
  </si>
  <si>
    <t>Script, Decorative, Calligraphy, Nostalgic, Vintage Script, Classic Script, Bold Script, Headline Font, Romance Font, Victorian Font, Wedding Font, Curly Font, Swirly Font, Elegant Script, Luxury Font, Christmas Script, Wedding Script, Valentine Script, Nostalgic Font, Fashion Font</t>
  </si>
  <si>
    <t>Royal Ericson</t>
  </si>
  <si>
    <t>Valorix Studio</t>
  </si>
  <si>
    <t>Erick Rismawan Valorix</t>
  </si>
  <si>
    <t>R$ 107,52</t>
  </si>
  <si>
    <t>R$ 268,81</t>
  </si>
  <si>
    <t>R$ 89,60</t>
  </si>
  <si>
    <t>imagens\Royal_Ericson.png</t>
  </si>
  <si>
    <t>https://www.myfonts.com/pt/collections/royal-ericson-font-valorix-studio</t>
  </si>
  <si>
    <t>Serif, Modern Serif, Transitional Serif, Luxury Typeface, Branding, Logo, Typetext, Classy Serif, Elegan Serif</t>
  </si>
  <si>
    <t>Fluffy Batter</t>
  </si>
  <si>
    <t>Stylishtype Studio</t>
  </si>
  <si>
    <t>Heru Utama Putra</t>
  </si>
  <si>
    <t>R$ 123,65</t>
  </si>
  <si>
    <t>R$ 61,83</t>
  </si>
  <si>
    <t>imagens\Fluffy_Batter.png</t>
  </si>
  <si>
    <t>https://www.myfonts.com/pt/collections/fluffy-batter-font-stylishtype-studio</t>
  </si>
  <si>
    <t>Brush, Script, Handwritten, Modern, Casual, Stylish, Logo, Branding, Typography, Creative, Food, Organic, Natural, Playful, Lifestyle, Packaging, Menu, Artistic, Design, Font</t>
  </si>
  <si>
    <t>Rexus Cyber</t>
  </si>
  <si>
    <t>Letterena Studios</t>
  </si>
  <si>
    <t>R$ 51,08</t>
  </si>
  <si>
    <t>imagens\Rexus_Cyber.png</t>
  </si>
  <si>
    <t>https://www.myfonts.com/pt/collections/rexus-cyber-font-letterena-studios</t>
  </si>
  <si>
    <t>Display, Vintage, Bold, Retro, Serif, Rustic, Adventure, Cowboy, Classic, Authentic, Branding, Logo, Typography, Strong, Heritage, Outdoor, Country, Americana, Font, Modern Futuristic Fontype</t>
  </si>
  <si>
    <t>Assallonge</t>
  </si>
  <si>
    <t>Syafbe</t>
  </si>
  <si>
    <t>Syafwan Mus</t>
  </si>
  <si>
    <t>R$ 86,02</t>
  </si>
  <si>
    <t>imagens\Assallonge.png</t>
  </si>
  <si>
    <t>https://www.myfonts.com/pt/collections/assallonge-font-syafbe</t>
  </si>
  <si>
    <t>Script, Weddingdesigns, Packagingdesign, Digitalart, Graphicdesign, Typelove, Fontinspiration, Natural, Skin Care, Cassual, Valentine, Monoline, Elegant, Handlettering, Handwritten, Handwriting, Invitation, Signature, Product, Logo</t>
  </si>
  <si>
    <t>Seglade</t>
  </si>
  <si>
    <t>RagamKata</t>
  </si>
  <si>
    <t>Yogiswhara Dio Prakoso Riadi</t>
  </si>
  <si>
    <t>R$ 96,77</t>
  </si>
  <si>
    <t>R$ 48,39</t>
  </si>
  <si>
    <t>imagens\Seglade.png</t>
  </si>
  <si>
    <t>https://www.myfonts.com/pt/collections/seglade-font-ragamkata</t>
  </si>
  <si>
    <t>Modern, Sans, Sans Serif, Elegant, Luxury, Branding, Fashion, Wedding, Packaging, Stylish, Clasy, Classic, Versatile, Sophiscated, Minimal, Clean, Beauty, Premium</t>
  </si>
  <si>
    <t>Roseartuk</t>
  </si>
  <si>
    <t>imagens\Roseartuk.png</t>
  </si>
  <si>
    <t>https://www.myfonts.com/pt/collections/roseartuk-font-made-deduk</t>
  </si>
  <si>
    <t>Blackletter, Decorative, Gothic, Oldenglish, Halloween, Rough, Typography, Historical, Vintage, Branding, Deathmetal, Music, Fashion, Headline, Tattoo, Classic Blackletter, Modern Blackletter, Book Cover, Display, Whiskey</t>
  </si>
  <si>
    <t>Salena</t>
  </si>
  <si>
    <t>Typebae</t>
  </si>
  <si>
    <t>Iqbal Pauji</t>
  </si>
  <si>
    <t>R$ 263,43</t>
  </si>
  <si>
    <t>R$ 26,34</t>
  </si>
  <si>
    <t>imagens\Salena.png</t>
  </si>
  <si>
    <t>https://www.myfonts.com/pt/collections/salena-font-typebae</t>
  </si>
  <si>
    <t>Sans, Minimalist, Modern, Clean, Elegant, Display, Futuristic, Logo, Logotype, Branding, Headline, Luxury, Timeless, Magazine, Business, Minimal, Brand Indentity</t>
  </si>
  <si>
    <t>MC Ochlaz</t>
  </si>
  <si>
    <t>R$ 75,27</t>
  </si>
  <si>
    <t>imagens\MC_Ochlaz.png</t>
  </si>
  <si>
    <t>https://www.myfonts.com/pt/collections/mc-ochlaz-font-maulana-creative</t>
  </si>
  <si>
    <t>Display Font, Serif Typeface, Gothic Style, Horror Movie, Dark Fantasy, Elegant Horror, Vintage Poster, Luxury Branding, Mysterious Font, Halloween Design, Occult Theme, Victorian Era, Classic Look, Modern Gothic, High Contrast, Spooky Text, Headline Font, Title Lettering, Book Cover, Scary Text</t>
  </si>
  <si>
    <t>The Foriene Serif</t>
  </si>
  <si>
    <t>Rasio Studio</t>
  </si>
  <si>
    <t>Fajar Indra</t>
  </si>
  <si>
    <t>R$ 134,41</t>
  </si>
  <si>
    <t>imagens\The_Foriene_Serif.png</t>
  </si>
  <si>
    <t>https://www.myfonts.com/pt/collections/the-foriene-serif-font-rasio-studio</t>
  </si>
  <si>
    <t>Foriene, Serif, Elegant, Modern, Classic, Timeless, Refined, Typography, Luxury, Minimal, Professional, Clean, Italic, Sophisticated, Headline</t>
  </si>
  <si>
    <t>Ametha Sweet</t>
  </si>
  <si>
    <t>Yoga Letter</t>
  </si>
  <si>
    <t>Isroni Yoga Prasetya</t>
  </si>
  <si>
    <t>R$ 53,76</t>
  </si>
  <si>
    <t>imagens\Ametha_Sweet.png</t>
  </si>
  <si>
    <t>https://www.myfonts.com/pt/collections/ametha-sweet-font-yoga-letter</t>
  </si>
  <si>
    <t>Christmas, Handwritten, Spring, Summner, Invitations, Thanksgiving, Wedding, Lovely, Valentine</t>
  </si>
  <si>
    <t>Elegra</t>
  </si>
  <si>
    <t>Jafar07</t>
  </si>
  <si>
    <t>Bakhrudin Ja'far</t>
  </si>
  <si>
    <t>R$ 112,90</t>
  </si>
  <si>
    <t>R$ 134,40</t>
  </si>
  <si>
    <t>R$ 67,20</t>
  </si>
  <si>
    <t>imagens\Elegra.png</t>
  </si>
  <si>
    <t>https://www.myfonts.com/pt/collections/elegra-font-jafar07</t>
  </si>
  <si>
    <t>Plavor, Serif, Elegant, Timeless, Luxury, Modern, Classy, Stylish, Aesthetic, Classic, Vintage, Display, Typography, Editorial, Magazine, Branding, Premium, Sophisticated, Minimal</t>
  </si>
  <si>
    <t>Brylan</t>
  </si>
  <si>
    <t>R$ 33,60</t>
  </si>
  <si>
    <t>imagens\Brylan.png</t>
  </si>
  <si>
    <t>https://www.myfonts.com/pt/collections/brylan-font-jafar07</t>
  </si>
  <si>
    <t>Brylan, Retrofont, Modernsans, Displayfont, Boldfont, Geometricfont, Groovyfont, 70sfont, Brandingfont, Logofont, Packagingfont, Posterfont, Editorialfont, Designfont, Modernfont, Stylishfont, Vintagefont, Playfulfont</t>
  </si>
  <si>
    <t>Labujack</t>
  </si>
  <si>
    <t>Hatftype</t>
  </si>
  <si>
    <t>Asep Rendi</t>
  </si>
  <si>
    <t>imagens\Labujack.png</t>
  </si>
  <si>
    <t>https://www.myfonts.com/pt/collections/labujack-font-hatftype</t>
  </si>
  <si>
    <t>Blackletter, Branding, Comic, Concert, Decorative, Display, Dripping, Festival, Gothic, Halloween, Horror, Logo, Merchandise, Movie, Music, Poster, Product, Scary, Souvenir, Spooky</t>
  </si>
  <si>
    <t>Caprano</t>
  </si>
  <si>
    <t>Hoftype</t>
  </si>
  <si>
    <t>Dieter Hofrichter</t>
  </si>
  <si>
    <t>R$ 1.064,48</t>
  </si>
  <si>
    <t>R$ 66,53</t>
  </si>
  <si>
    <t>imagens\Caprano.png</t>
  </si>
  <si>
    <t>https://www.myfonts.com/pt/collections/caprano-font-hoftype</t>
  </si>
  <si>
    <t>Serif, Text, Headline, Subhead, Display, Classic, Editorial, Magazine, Newspaper, Packaging, Transitional, Didone, Didonesque, Contemporary, Fashion, Free, Elegant</t>
  </si>
  <si>
    <t>Odrine</t>
  </si>
  <si>
    <t>R$ 188,17</t>
  </si>
  <si>
    <t>R$ 11,76</t>
  </si>
  <si>
    <t>imagens\Odrine.png</t>
  </si>
  <si>
    <t>https://www.myfonts.com/pt/collections/odrine-font-jafar07</t>
  </si>
  <si>
    <t>Odrine, Sans, Condensed, Sansserif, Modern, Retro, Vintage, Bold, Geometric, Display, Typography, Branding, Logo, Poster, Headline</t>
  </si>
  <si>
    <t>Comfirst</t>
  </si>
  <si>
    <t>Metasena Typefoundry</t>
  </si>
  <si>
    <t>Ainal Mardiah</t>
  </si>
  <si>
    <t>imagens\Comfirst.png</t>
  </si>
  <si>
    <t>https://www.myfonts.com/pt/collections/comfirst-font-metasena-typefoundry</t>
  </si>
  <si>
    <t>Typography, Alphabet, Type, Letter, Vector, Drawn, Illustration, Art, Vintage, Typographic, Symbol, Number, Abstract, Classic, Poster, Paint, Typeset, Fashion, Grunge, Corporate</t>
  </si>
  <si>
    <t>Fionelle</t>
  </si>
  <si>
    <t>imagens\Fionelle.png</t>
  </si>
  <si>
    <t>https://www.myfonts.com/pt/collections/fionelle-font-rasio-studio</t>
  </si>
  <si>
    <t>Fionelle, Script, Modern, Elegant, Handwriting, Calligraphy, Cursive, Stylish, Smooth, Flowing, Classy, Branding, Logo, Typography, Graceful, Creative, Modern Calligraphy, Swash</t>
  </si>
  <si>
    <t>Mono Cremanio</t>
  </si>
  <si>
    <t>imagens\Mono_Cremanio.png</t>
  </si>
  <si>
    <t>https://www.myfonts.com/pt/collections/mono-cremanio-font-rasio-studio</t>
  </si>
  <si>
    <t>Cremanio, Condensed, Sans Serif, Modern, Bold, Strong, Clean, Minimal, Industrial, Geometric, Typography, Branding, Display, Title, Professional, Contemporary</t>
  </si>
  <si>
    <t>Gadey</t>
  </si>
  <si>
    <t>Sealoung</t>
  </si>
  <si>
    <t>Saiful Anwar</t>
  </si>
  <si>
    <t>imagens\Gadey.png</t>
  </si>
  <si>
    <t>https://www.myfonts.com/pt/collections/gadey-font-sealoung</t>
  </si>
  <si>
    <t>Modern Font, Stylish Font, Versatile, Logo Font, Logotype, Business Font, Unique Font, Branding, Logo, Minimalist, Elegant, Corporate, Company, Contemporary, Sleek, Professional</t>
  </si>
  <si>
    <t>Bolze</t>
  </si>
  <si>
    <t>Marvadesign</t>
  </si>
  <si>
    <t>Febrie Setiawan</t>
  </si>
  <si>
    <t>imagens\Bolze.png</t>
  </si>
  <si>
    <t>https://www.myfonts.com/pt/collections/bolze-font-marvadesign</t>
  </si>
  <si>
    <t>Script, Rounded, Sans Serif, Advertisement, Bold, Retro, Vintage, Display, Heavy, Rough, Handwritten, Powerful, Organic, Block, Casual, Logo, Poster, Hand Lettering, Magazine, Movie</t>
  </si>
  <si>
    <t>MN Rastone Talles</t>
  </si>
  <si>
    <t>Mantra Naga Studio</t>
  </si>
  <si>
    <t>Fredo Eka Pratama</t>
  </si>
  <si>
    <t>imagens\MN_Rastone_Talles.png</t>
  </si>
  <si>
    <t>https://www.myfonts.com/pt/collections/mn-rastone-talles-font-mantra-naga-studio</t>
  </si>
  <si>
    <t>Vintage, Handwritten, Font Duo, Handwritten Font Duo, Typeface, Type Design, Branding, Brand Identity, Logotype, Modern, Masculine, Casual, Packaging, Vintage Font Duo, Vintage Font</t>
  </si>
  <si>
    <t>Spotagonix</t>
  </si>
  <si>
    <t>Herry92</t>
  </si>
  <si>
    <t>Herry Herry</t>
  </si>
  <si>
    <t>imagens\Spotagonix.png</t>
  </si>
  <si>
    <t>https://www.myfonts.com/pt/collections/spotagonix-font-herry92</t>
  </si>
  <si>
    <t>Modern Display, Modern Font, Effect Font, Modern Style, Sporty, Industrial, Aesthetics Fon, Power, Logo, Posters, Modernity, Confident, Promotional Posters, Lifestyle, Geometric Sans-Serif, Technical, Masculine, Solidfont</t>
  </si>
  <si>
    <t>Nahila</t>
  </si>
  <si>
    <t>imagens\Nahila.png</t>
  </si>
  <si>
    <t>https://www.myfonts.com/pt/collections/nahila-font-sensatype-studio</t>
  </si>
  <si>
    <t>Modern Rounded, Round, Neue, Bold Rounded, Round Font, Modern, Rounded, Fancy, Playful, Logo, Font, Branding, Creative, Soft, Display, Friendly, Smooth, Sansserif, Minimal, Clean</t>
  </si>
  <si>
    <t>Twinkory</t>
  </si>
  <si>
    <t>Youthlabs</t>
  </si>
  <si>
    <t>Fathi Al Ghazi</t>
  </si>
  <si>
    <t>imagens\Twinkory.png</t>
  </si>
  <si>
    <t>https://www.myfonts.com/pt/collections/twinkory-font-youthlabs</t>
  </si>
  <si>
    <t>Christmas Font, Christmas Typography, Festive Font, Holiday Lettering, Cute Christmas Design, Christmas Aesthetic, Christmas Poster Font, Merry Christmas Text, Modern Festive Font, Retro Christmas Font, Holiday Logo Font, Playful Font Design, Christmas Branding, Cozy Winter Font, Christmas Crafts Font, Warm Festive Design, Christmas Card Font, Typographic Christmas, Xmas Typography, Fun Christmas Letters</t>
  </si>
  <si>
    <t>Remontada</t>
  </si>
  <si>
    <t>Fikryal</t>
  </si>
  <si>
    <t>Muhammad Fikry</t>
  </si>
  <si>
    <t>R$ 145,00</t>
  </si>
  <si>
    <t>imagens\Remontada.png</t>
  </si>
  <si>
    <t>https://www.myfonts.com/pt/collections/remontada-font-fikryal</t>
  </si>
  <si>
    <t>Brush, Handwritten, Display, Script, Textured, Modern, Logo, Brush Script, Handmade, Casual, Lettering, Bold, Uppercase Lowercase, Typeface, Modern Brush, Natural Brush, Artistic, Creative, Design Font, Authentic</t>
  </si>
  <si>
    <t>Damoga</t>
  </si>
  <si>
    <t>Timelesstype Studio</t>
  </si>
  <si>
    <t>imagens\Damoga.png</t>
  </si>
  <si>
    <t>https://www.myfonts.com/pt/collections/damoga-font-timelesstype-studio</t>
  </si>
  <si>
    <t>Display, Retro, Modern, Bold, Vintage, Stylish, Groovy, Creative, Branding, Logo, Typography, Poster, Artistic, Minimal, Decorative, Playful, Contemporary, Design, Graphic, Font</t>
  </si>
  <si>
    <t>Witness</t>
  </si>
  <si>
    <t>Din Studio</t>
  </si>
  <si>
    <t>Donis Miftahudin</t>
  </si>
  <si>
    <t>R$ 182,79</t>
  </si>
  <si>
    <t>R$ 236,55</t>
  </si>
  <si>
    <t>R$ 26,28</t>
  </si>
  <si>
    <t>imagens\Witness.png</t>
  </si>
  <si>
    <t>https://www.myfonts.com/pt/collections/witness-font-din-studio</t>
  </si>
  <si>
    <t>Vector, Design, Alphabet, Letter, Typeface, Type, Lettering, Retro, Vintage, Symbol, Bold, Typeset, Serif, Classic, Style, Logotype, Creative, Font</t>
  </si>
  <si>
    <t>Modo retro</t>
  </si>
  <si>
    <t>Nirmana Visual</t>
  </si>
  <si>
    <t>Sigit Dwipa</t>
  </si>
  <si>
    <t>R$ 129,03</t>
  </si>
  <si>
    <t>R$ 43,01</t>
  </si>
  <si>
    <t>imagens\Modo_retro.png</t>
  </si>
  <si>
    <t>https://www.myfonts.com/pt/collections/retro-way-font-nirmana-visual</t>
  </si>
  <si>
    <t>Retro, Vintage, Classic, Sign, Bold, Extrude, Rough, Logo, Branding, Poster, Aesthetic</t>
  </si>
  <si>
    <t>Golastika</t>
  </si>
  <si>
    <t>imagens\Golastika.png</t>
  </si>
  <si>
    <t>https://www.myfonts.com/pt/collections/golastika-font-letterena-studios</t>
  </si>
  <si>
    <t>Serif Font, Serif, Luxury Serif, Premium Serif, Display Serif, Serif Premium, Branding, Elegant, Font, Modern, Casual, Photography, Visual, Card, Signature, Wedding, Script, Calligraphy, Fashion, Logo</t>
  </si>
  <si>
    <t>MC Birjhon</t>
  </si>
  <si>
    <t>imagens\MC_Birjhon.png</t>
  </si>
  <si>
    <t>https://www.myfonts.com/pt/collections/mc-birjhon-font-maulana-creative</t>
  </si>
  <si>
    <t>Casual Font, Brush Font, Signature Script, Wedding Font, Hand Drawn, Script Font, Modern Script, Elegant Font, Beautiful Script, Creative Font, Branding Design, Luxury Typography, Cool Style, Stylish Font, Personal Signature, Custom Lettering, Natural Flow, Feminine Script, Organic Typeface, Chic Font</t>
  </si>
  <si>
    <t>Asteza</t>
  </si>
  <si>
    <t>Genetype</t>
  </si>
  <si>
    <t>Bagus Arya Kirana</t>
  </si>
  <si>
    <t>R$ 64,51</t>
  </si>
  <si>
    <t>R$ 161,29</t>
  </si>
  <si>
    <t>R$ 40,32</t>
  </si>
  <si>
    <t>imagens\Asteza.png</t>
  </si>
  <si>
    <t>https://www.myfonts.com/pt/collections/asteza-font-genetype</t>
  </si>
  <si>
    <t>Handwritten, Script, Modern, Blur, Hand Drawn, Calligraphy, Cursive, Stylish, Lettering, Smooth, Elegant, Brush, Natural, Restaurant, Logo, Menu, Poster, Signature, Typeface, Handmade</t>
  </si>
  <si>
    <t>TM Mimosa</t>
  </si>
  <si>
    <t>Tomomi Kanda</t>
  </si>
  <si>
    <t>R$ 2.688,09</t>
  </si>
  <si>
    <t>R$ 896,03</t>
  </si>
  <si>
    <t>imagens\TM_Mimosa.png</t>
  </si>
  <si>
    <t>https://www.myfonts.com/pt/collections/tm-mimosa-font-tomomi-kanda</t>
  </si>
  <si>
    <t>Zyphra</t>
  </si>
  <si>
    <t>Only Fonts</t>
  </si>
  <si>
    <t>Olivia Love</t>
  </si>
  <si>
    <t>imagens\Zyphra.png</t>
  </si>
  <si>
    <t>https://www.myfonts.com/pt/collections/zyphra-font-only-fonts</t>
  </si>
  <si>
    <t>Futuristic, Techno, Sci Fi, Cyberpunk, Geometric, Angular, Modern Sans, High Tech, Display, Headline, Logo, Gaming, Esports, Ui Design, Web Hero, Neon, Modular, Alternates, Ligatures, Minimal</t>
  </si>
  <si>
    <t>Qestrafin</t>
  </si>
  <si>
    <t>imagens\Qestrafin.png</t>
  </si>
  <si>
    <t>https://www.myfonts.com/pt/collections/qestrafin-font-letterena-studios</t>
  </si>
  <si>
    <t>Monthe</t>
  </si>
  <si>
    <t>imagens\Monthe.png</t>
  </si>
  <si>
    <t>https://www.myfonts.com/pt/collections/monthe-font-rasio-studio</t>
  </si>
  <si>
    <t>Monthe, Serif, Calligraphic, Display, Elegant, Luxury, Refined, Stylish, Artistic, Magazine, Modern, Premium, Classy, Sophisticated, Aesthetic, Timeless</t>
  </si>
  <si>
    <t>Lethis</t>
  </si>
  <si>
    <t>imagens\Lethis.png</t>
  </si>
  <si>
    <t>https://www.myfonts.com/pt/collections/lethis-font-only-fonts</t>
  </si>
  <si>
    <t>Art Deco, 1920s, Gatsby, Deco Serif, Vintage Luxury, Elegant, Glamour, Fashion, High End, Wedding Invitation, Retro Chic, Editorial, Geometric, Sophisticated, Classy, Jazz Age, Luxury Branding, Ligatures, Multilingual, Stylish</t>
  </si>
  <si>
    <t>Ceyla</t>
  </si>
  <si>
    <t>Craft Supply Co</t>
  </si>
  <si>
    <t>Trio Nazzar Saputra</t>
  </si>
  <si>
    <t>imagens\Ceyla.png</t>
  </si>
  <si>
    <t>https://www.myfonts.com/pt/collections/ceyla-font-craft-supply-co</t>
  </si>
  <si>
    <t>Display Serif, Poster, Branding, Logo, Unique, Elegant, Modern, Versatile, Stylish, Album Cover, Typeface, Typography, Font, Design, Fashion</t>
  </si>
  <si>
    <t>Ceyla Unfocus</t>
  </si>
  <si>
    <t>imagens\Ceyla_Unfocus.png</t>
  </si>
  <si>
    <t>https://www.myfonts.com/pt/collections/ceyla-unfocus-font-craft-supply-co</t>
  </si>
  <si>
    <t>Unfocus, Display, Poster, Branding, Logo, Editorial, Elegant, Versatile, Typeface, Typography, Font, Title</t>
  </si>
  <si>
    <t>Charlen</t>
  </si>
  <si>
    <t>Amarlettering</t>
  </si>
  <si>
    <t>Amar Lettering</t>
  </si>
  <si>
    <t>imagens\Charlen.png</t>
  </si>
  <si>
    <t>https://www.myfonts.com/pt/collections/charlen-font-amarlettering</t>
  </si>
  <si>
    <t>Elegant Script, Modern Calligraphy, Handwritten Font, Wedding Font, Signature Style, Feminine Font, Luxury Branding, Stylish Script, Cursive Lettering, Fine Calligraphy, Invitation Font, Delicate Script, Graceful Font, Romantic Typography, Fashion Logo Font, Sophisticated Design, Classy Script, Flowing Handwriting, Chic Typeface, Timeless Elegance</t>
  </si>
  <si>
    <t>BT Annam Neue</t>
  </si>
  <si>
    <t>BeauType</t>
  </si>
  <si>
    <t>Duong Nguyen</t>
  </si>
  <si>
    <t>R$ 241,93</t>
  </si>
  <si>
    <t>R$ 2.145,10</t>
  </si>
  <si>
    <t>R$ 214,51</t>
  </si>
  <si>
    <t>imagens\BT_Annam_Neue.png</t>
  </si>
  <si>
    <t>https://www.myfonts.com/pt/collections/bt-annam-neue-font-beautype</t>
  </si>
  <si>
    <t>VietnameseFont, Serif, Cultural, Modern Serif, Heritage Font, SoutheastAsianFont, VintageSerif, DisplaySerif, Royal, Dynasty</t>
  </si>
  <si>
    <t>BT Giusto</t>
  </si>
  <si>
    <t>Bleifrei Type</t>
  </si>
  <si>
    <t>Aaron Aebi</t>
  </si>
  <si>
    <t>R$ 483,86</t>
  </si>
  <si>
    <t>R$ 1.612,85</t>
  </si>
  <si>
    <t>R$ 230,41</t>
  </si>
  <si>
    <t>imagens\BT_Giusto.png</t>
  </si>
  <si>
    <t>https://www.myfonts.com/pt/collections/bt-giusto-font-bleifrei-type</t>
  </si>
  <si>
    <t>Sans Serif, Grotesque, Organic Sans, Italian Style, Art Nouveau Inspired, Humanist Sans, Variable Font, Stylistic Alternates, Ligatures, Multilingual Support, Editorial Typeface, Display Use, Clean and Elegant, Contemporary, Neutral yet Warm, Bleifrei Type, Swiss Foundry, 7 Weights, Optical Balance, Modern Grotesk</t>
  </si>
  <si>
    <t>Sim</t>
  </si>
  <si>
    <t>Eminara</t>
  </si>
  <si>
    <t>imagens\Eminara.png</t>
  </si>
  <si>
    <t>https://www.myfonts.com/pt/collections/eminara-font-rasio-studio</t>
  </si>
  <si>
    <t>Eminara, Serif, Elegant, Modern, Refined, Classy, Minimal, Timeless, Aesthetic, Stylish, Clean, Professional, Luxury, Display, Magazine</t>
  </si>
  <si>
    <t>Amoura Camorin</t>
  </si>
  <si>
    <t>imagens\Amoura_Camorin.png</t>
  </si>
  <si>
    <t>https://www.myfonts.com/pt/collections/amoura-camorin-font-rasio-studio</t>
  </si>
  <si>
    <t>Amoura, Camorin, Serif, Condensed, Editorial, Decorative, Elegant, Classic, Modern, Luxury, Fashion, Branding, Vintage, Aesthetic, Artistic, Display, Sophisticated, Chic, Timeless, Classy</t>
  </si>
  <si>
    <t>Avehope</t>
  </si>
  <si>
    <t>R$ 11,52</t>
  </si>
  <si>
    <t>imagens\Avehope.png</t>
  </si>
  <si>
    <t>https://www.myfonts.com/pt/collections/avehope-font-jafar07</t>
  </si>
  <si>
    <t>Sans, Geometric, Modern, Clean, Branding, Display, Editorial, Typography, Logo, Typeface, Professional, Minimal, Digital, Design, Font</t>
  </si>
  <si>
    <t>Through Culture</t>
  </si>
  <si>
    <t>imagens\Through_Culture.png</t>
  </si>
  <si>
    <t>https://www.myfonts.com/pt/collections/through-culture-font-timelesstype-studio</t>
  </si>
  <si>
    <t>Modern, Serif, Display, Elegant, Classic, Vintage, Luxury, Editorial, Magazine, Branding, Stylish, Refined, Artistic, Creative, Timeless, Minimal, Typeface, Design, Decorative, Font</t>
  </si>
  <si>
    <t>Wonderz</t>
  </si>
  <si>
    <t>VP Creative Shop</t>
  </si>
  <si>
    <t>Vladimir Fedotov</t>
  </si>
  <si>
    <t>R$ 209,67</t>
  </si>
  <si>
    <t>R$ 17,47</t>
  </si>
  <si>
    <t>imagens\Wonderz.png</t>
  </si>
  <si>
    <t>https://www.myfonts.com/pt/collections/wonderz-font-vp-creative-shop</t>
  </si>
  <si>
    <t>Wonderz, Serif, Typeface, Elegant, Luxury, Typography, Display, Modern, Fashion, Clasy, High Contrast, Branding, Editorial, Logo Font, Premium Font, Stylish, Timeless, Creative, Sophisticated, Chic Seir</t>
  </si>
  <si>
    <t>Cenios Rounded Rough</t>
  </si>
  <si>
    <t>imagens\Cenios_Rounded_Rough.png</t>
  </si>
  <si>
    <t>https://www.myfonts.com/pt/collections/cenios-rounded-rough-font-craft-supply-co</t>
  </si>
  <si>
    <t>Rounded, Wide, Expanded, Rough, Distressed, Poster, Branding, Title, Packaging, Retro, Vintage, Logo, Typeface, Typography, Font</t>
  </si>
  <si>
    <t>Charsey</t>
  </si>
  <si>
    <t>imagens\Charsey.png</t>
  </si>
  <si>
    <t>https://www.myfonts.com/pt/collections/charsey-font-craft-supply-co</t>
  </si>
  <si>
    <t>Sans Serif, Headline, Title, Modern, Editorial, Typeface, Typography, Clean, Readable, Font, Corporate, Logo, Versatile, Magazine, Legible, Web, Packaging</t>
  </si>
  <si>
    <t>Gold Bachelor</t>
  </si>
  <si>
    <t>Heinzel Std</t>
  </si>
  <si>
    <t>Nofi Sofyan Hadi</t>
  </si>
  <si>
    <t>imagens\Gold_Bachelor.png</t>
  </si>
  <si>
    <t>https://www.myfonts.com/pt/collections/gold-bachelor-font-heinzel-std</t>
  </si>
  <si>
    <t>Serif Font, Sans Serif Font, Headline Font, Magazine Font, Retro Font, Branding Font, Cricut Font, Canva Font, Modern Font, Elegant Font, Typeface, Cursive Font, Serif Font Family, Font Family, Bold Font, Procreate Font, Commercial Use Font, Classic Font, Classy Font, Best Font</t>
  </si>
  <si>
    <t>Daltonse</t>
  </si>
  <si>
    <t>imagens\Daltonse.png</t>
  </si>
  <si>
    <t>https://www.myfonts.com/pt/collections/daltonse-font-letterena-studios</t>
  </si>
  <si>
    <t>Brush, Script, Handwritten, Bold, Modern, Stylish, Logo, Signature, Branding, Typography, Display, Creative, Artistic, Elegant, Casual, Expressive, Handmade, Fashion, Trendy, Font</t>
  </si>
  <si>
    <t>Witches at the Olympiads</t>
  </si>
  <si>
    <t>SEMMAD</t>
  </si>
  <si>
    <t>Taouffik S Semmad</t>
  </si>
  <si>
    <t>imagens\Witches_at_the_Olympiads.png</t>
  </si>
  <si>
    <t>https://www.myfonts.com/pt/collections/witches-at-the-olympiads-font-semmad</t>
  </si>
  <si>
    <t>Signage, Advertising, Cartoons, Cinema, Sports</t>
  </si>
  <si>
    <t>Marelyna Charleya</t>
  </si>
  <si>
    <t>Denustudio</t>
  </si>
  <si>
    <t>Dede Nugraha</t>
  </si>
  <si>
    <t>imagens\Marelyna_Charleya.png</t>
  </si>
  <si>
    <t>https://www.myfonts.com/pt/collections/marelyna-charleya-font-denustudio</t>
  </si>
  <si>
    <t>Script, Vintage, Nostalgic, Romantic Font, Vintage Script, Calligraphy, Wedding, Modern Calligraphy, Beauty Font, Calligraphy Script Font, Beautiful Font, Luxury, Fancy, Magazine, Whimsical, Logo, Unique, Cursive, Lettering, Copperplate</t>
  </si>
  <si>
    <t>Christmas Merryland</t>
  </si>
  <si>
    <t>Letterara</t>
  </si>
  <si>
    <t>Thomas Aradea</t>
  </si>
  <si>
    <t>R$ 145,16</t>
  </si>
  <si>
    <t>R$ 72,58</t>
  </si>
  <si>
    <t>imagens\Christmas_Merryland.png</t>
  </si>
  <si>
    <t>https://www.myfonts.com/pt/collections/christmas-merryland-font-letterara</t>
  </si>
  <si>
    <t>Brush, Branding, Christmas, Christmas Brush, Natural, Stroke, Poster, Strong, Authentic, Natural Brush, Brush Font, Handwritten, Holiday, Travelling, Poster Font, Handwritten Font, Natural Handwritten, Christmas Handwritten, Merry Christmas, Natural Branding</t>
  </si>
  <si>
    <t>Neothopia</t>
  </si>
  <si>
    <t>Catalystco Std</t>
  </si>
  <si>
    <t>imagens\Neothopia.png</t>
  </si>
  <si>
    <t>https://www.myfonts.com/pt/collections/neothopia-font-catalystco-std</t>
  </si>
  <si>
    <t>Neothopia, Futuristic, Techno, Modern, Digital, Tech, Display, Innovation, Virtual, Interface, Experimental, Future, Sharp, Dynamic, Headline, Creative, Typeface</t>
  </si>
  <si>
    <t>Oaklyn</t>
  </si>
  <si>
    <t>imagens\Oaklyn.png</t>
  </si>
  <si>
    <t>https://www.myfonts.com/pt/collections/oaklyn-font-only-fonts</t>
  </si>
  <si>
    <t>Western, Cowboy, Rodeo, Saloon, Vintage Woodtype, Slab Serif, Rustic, Wild West, Frontier Signage, Western Poster, Ranch Branding, Bbq Restaurant, Country Music, Badge and Label, Bold Display, Headline Font, Ligatures, Stylistic Alternates, Multilingual Support, Adventure Theme</t>
  </si>
  <si>
    <t>Torvik</t>
  </si>
  <si>
    <t>imagens\Torvik.png</t>
  </si>
  <si>
    <t>https://www.myfonts.com/pt/collections/torvik-font-only-fonts</t>
  </si>
  <si>
    <t>Retro, 80s, Nostalgic, Vintage, Display, Bold, Geometric, Neon, Playful, Funky, Poster, Album Cover, Groovy, Synthwave, Oldschool, Energetic, Eyecatching, Decorative, Throwback, Retro Modern</t>
  </si>
  <si>
    <t>Westron Way Honor</t>
  </si>
  <si>
    <t>imagens\Westron_Way_Honor.png</t>
  </si>
  <si>
    <t>https://www.myfonts.com/pt/collections/westron-way-honor-font-timelesstype-studio</t>
  </si>
  <si>
    <t>Western, Display, Vintage, Bold, Retro, Serif, Rustic, Adventure, Cowboy, Classic, Authentic, Branding, Logo, Typography, Strong, Heritage, Outdoor, Country, Americana, Font</t>
  </si>
  <si>
    <t>Astoin</t>
  </si>
  <si>
    <t>imagens\Astoin.png</t>
  </si>
  <si>
    <t>https://www.myfonts.com/pt/collections/astoin-font-sealoung</t>
  </si>
  <si>
    <t>Modern, Futuristic Font, Stylish Font, Versatile, Branding, Sporty, Casual, Gaming Font, Casual Font, Headlines, Logo Font, Business Font, Typography, Unique, Corporate, Professional Font, Elegant, Display, Movies</t>
  </si>
  <si>
    <t>Alkemiogu</t>
  </si>
  <si>
    <t>imagens\Alkemiogu.png</t>
  </si>
  <si>
    <t>https://www.myfonts.com/pt/collections/alkemiogu-font-timelesstype-studio</t>
  </si>
  <si>
    <t>New Serif Display Typeface, Serif, Display, Modern, Elegant, Vintage, Luxury, Stylish, Classic, Retro, Bold, Branding, Editorial, Typeface, Logo, Font, Packaging, Magazine Titles, Advertising, Cosmetic Products</t>
  </si>
  <si>
    <t>Lastime Echoes</t>
  </si>
  <si>
    <t>imagens\Lastime_Echoes.png</t>
  </si>
  <si>
    <t>https://www.myfonts.com/pt/collections/lastime-echoes-font-letterena-studios</t>
  </si>
  <si>
    <t>Alendro</t>
  </si>
  <si>
    <t>imagens\Alendro.png</t>
  </si>
  <si>
    <t>https://www.myfonts.com/pt/collections/alendro-font-typebae</t>
  </si>
  <si>
    <t>Serif, Vintage, Retro, Playful, Elegant, Classic, Nouveau, Display, Art-deco, Decorative, Branding, Logo, Headline, Swash, Stylish</t>
  </si>
  <si>
    <t>Dicaten</t>
  </si>
  <si>
    <t>R$ 56,45</t>
  </si>
  <si>
    <t>imagens\Dicaten.png</t>
  </si>
  <si>
    <t>https://www.myfonts.com/pt/collections/dicaten-font-denustudio</t>
  </si>
  <si>
    <t>Blackletter, Victorian, Vintage, Tattoo, Gothic, Medieval, Music, Black Metal, Death Metal, Old English, Ornate, Ornamental, Underground, Edgy, Whiskey, Merchandise, Metal, Display, Calligraphy, Swash</t>
  </si>
  <si>
    <t>Giallorossi</t>
  </si>
  <si>
    <t>Trequartista Studio</t>
  </si>
  <si>
    <t>Muhammad Afif Ersya</t>
  </si>
  <si>
    <t>R$ 47,04</t>
  </si>
  <si>
    <t>imagens\Giallorossi.png</t>
  </si>
  <si>
    <t>https://www.myfonts.com/pt/collections/giallorossi-font-trequartista-studio</t>
  </si>
  <si>
    <t>Roma, as Roma, Gialorossi</t>
  </si>
  <si>
    <t>Bronzet</t>
  </si>
  <si>
    <t>imagens\Bronzet.png</t>
  </si>
  <si>
    <t>https://www.myfonts.com/pt/collections/bronzet-font-catalystco-std</t>
  </si>
  <si>
    <t>Bronzet, Sport, Athletic, Bold, Modern, Dynamic, Italic, Power, Sans, Energy, Strong, Modern Sans, Futuristic, Display, Branding, Typeface, Clean, Typography</t>
  </si>
  <si>
    <t>Ploofy</t>
  </si>
  <si>
    <t>imagens\Ploofy.png</t>
  </si>
  <si>
    <t>https://www.myfonts.com/pt/collections/ploofy-font-catalystco-std</t>
  </si>
  <si>
    <t>Ploofy, Bubble, Playful, Fun, Rounded, Soft, Creative, Cute, Friendly, Modern, Display, Joyful, Smooth, Cheerful, Bubbly, Bold Typeface</t>
  </si>
  <si>
    <t>Monraha</t>
  </si>
  <si>
    <t>imagens\Monraha.png</t>
  </si>
  <si>
    <t>https://www.myfonts.com/pt/collections/monraha-font-rasio-studio</t>
  </si>
  <si>
    <t>Monraha, Rounded, Display, Fun, Playful, Bold, Modern, Soft, Joyful, Kids, Food, Headline, Branding, Decorative, Cheerful, Aesthetic, Smooth, Modern Font, Minimal</t>
  </si>
  <si>
    <t>Vornyx</t>
  </si>
  <si>
    <t>imagens\Vornyx.png</t>
  </si>
  <si>
    <t>https://www.myfonts.com/pt/collections/vornyx-font-only-fonts</t>
  </si>
  <si>
    <t>Futuristic, Minimal, Modern Sans, Geometric, Clean Lines, Monoline, Display, Headline, Wordmark, Logo Design, Brand Identity, Tech Brand, Fashion Boutique, Interior Studio, Alternates, Ligatures, Multilingual, Symbols and Punctuation, Numerals, Sleek Branding</t>
  </si>
  <si>
    <t>Veldorn</t>
  </si>
  <si>
    <t>imagens\Veldorn.png</t>
  </si>
  <si>
    <t>https://www.myfonts.com/pt/collections/veldorn-font-only-fonts</t>
  </si>
  <si>
    <t>Vintage Script, Bold Script, Hand Lettered, Retro Lettering, Sign Painting, Brush Script, Classic Signage, Nostalgic, Coffee Shop Brand, Restaurant Logo, Badge and Label, Packaging Design, Headline Display, Logo Type, Ligatures, Stylistic Alternates, Multilingual Support, Authentic Handcrafted, Retro Poster, Signage Font</t>
  </si>
  <si>
    <t>Woblyn</t>
  </si>
  <si>
    <t>imagens\Woblyn.png</t>
  </si>
  <si>
    <t>https://www.myfonts.com/pt/collections/woblyn-font-only-fonts</t>
  </si>
  <si>
    <t>Handwritten, Playful, Dainty, Quirky, Sweet, Friendly, Greeting Cards, Stationery, Café, Coffee, Organic, Rounded, Personal Touch, Joyful, Feminine, Cute, Decorative, Script, Casual, Charming</t>
  </si>
  <si>
    <t>Stolvix</t>
  </si>
  <si>
    <t>imagens\Stolvix.png</t>
  </si>
  <si>
    <t>https://www.myfonts.com/pt/collections/stolvix-font-only-fonts</t>
  </si>
  <si>
    <t>Bold Display, Powerful Typography, Statement Making, Corporate Branding, Modern Sans, Geometric, Robust Weight, Headline Font, Impact Design, Branding Materials, Poster Font, Advertising, Editorial, Logo Design, Distinctive, Contemporary, Clean Lines, Strong Presence, Packaging, Display Typeface</t>
  </si>
  <si>
    <t>Castle Hunter</t>
  </si>
  <si>
    <t>imagens\Castle_Hunter.png</t>
  </si>
  <si>
    <t>https://www.myfonts.com/pt/collections/castle-hunter-font-herry92</t>
  </si>
  <si>
    <t>Retro-style, Display Serif, Classic Glamour, Elegance, Luxury, Vintage, Vintage Font, Retro Font, Hotels, Logo, Boutique Hotels, Branding, Classic, Classic Font, Cinematic Sophistication, Nostalgia</t>
  </si>
  <si>
    <t>Swiss cheese</t>
  </si>
  <si>
    <t>Jointype</t>
  </si>
  <si>
    <t>Jeremy Gill-Praba</t>
  </si>
  <si>
    <t>imagens\Swiss_cheese.png</t>
  </si>
  <si>
    <t>https://www.myfonts.com/pt/collections/swiss-cheese-font-jointype</t>
  </si>
  <si>
    <t>SWISS, Swisscheese, Cheese, Smile, Cutcorners, Corners, Cut, Wholes, Hols, Holes, Holly, Circle, Wholeinone, Holeinone</t>
  </si>
  <si>
    <t>Gridpact</t>
  </si>
  <si>
    <t>ahweproject</t>
  </si>
  <si>
    <t>Dida Ahluddin</t>
  </si>
  <si>
    <t>R$ 21,51</t>
  </si>
  <si>
    <t>imagens\Gridpact.png</t>
  </si>
  <si>
    <t>https://www.myfonts.com/pt/collections/gridpact-font-ahweproject</t>
  </si>
  <si>
    <t>Futuristic Font, Sans Serif, Modern Font, Grid Font, Tech Font, Geometric Font, Ligature Font, Unique Ligature, Display Font, Headline Font, Editorial Font, Branding Font, Sci-fi Font, Retro Futuristic, Modular Font, Clean Font, Minimalist Font, Creative Font, Bold Sans Serif, Typography Design</t>
  </si>
  <si>
    <t>Chunks Notes</t>
  </si>
  <si>
    <t>Nathatype</t>
  </si>
  <si>
    <t>imagens\Chunks_Notes.png</t>
  </si>
  <si>
    <t>https://www.myfonts.com/pt/collections/chunks-notes-font-nathatype</t>
  </si>
  <si>
    <t>Logofont, Logo, Foodlogo, Foodfont, Modern, Boldmodern, Playful, Display, Brand, Branding, Restaurant, Lettering, Handwritten, Fun</t>
  </si>
  <si>
    <t>ATP Lazy House</t>
  </si>
  <si>
    <t>Typeparties</t>
  </si>
  <si>
    <t>Thufail Al ghifary</t>
  </si>
  <si>
    <t>R$ 22,85</t>
  </si>
  <si>
    <t>imagens\ATP_Lazy_House.png</t>
  </si>
  <si>
    <t>https://www.myfonts.com/pt/collections/atp-lazy-house-font-typeparties</t>
  </si>
  <si>
    <t>Bold Font, Expressive Font, Handwritten Font, Bold Condensed Sans Serif, Rounded Sans Serif Font, Modern Display Font, Industrial Bold Font, Strong Headline Font, Rounded Font, Vintage Industrial Font, Urban Gritty Display Font, Logo Branding Typeface, Bold Rounded Display Font, Music Album Cover Font, Retro Modern Sans Serif, Creative Market Trending Font, High-Impact Bold Font, Headline, Headline Font, Poster Title Font</t>
  </si>
  <si>
    <t>TM Koppe</t>
  </si>
  <si>
    <t>R$ 967,71</t>
  </si>
  <si>
    <t>imagens\TM_Koppe.png</t>
  </si>
  <si>
    <t>https://www.myfonts.com/pt/collections/tm-koppe-font-tomomi-kanda</t>
  </si>
  <si>
    <t>Nubes</t>
  </si>
  <si>
    <t>Resistenza</t>
  </si>
  <si>
    <t>Giuseppe Salerno</t>
  </si>
  <si>
    <t>R$ 131,72</t>
  </si>
  <si>
    <t>imagens\Nubes.png</t>
  </si>
  <si>
    <t>https://www.myfonts.com/pt/collections/nubes-font-resistenza</t>
  </si>
  <si>
    <t>Handwritten, Casual, Rounded, Friendly, Felt-tip, Soft, Natural, Smooth, Human, Formal, Script, Modern, Personal, Warm, Multilingual, Branding, Packaging, Logo, Greetings Stationary</t>
  </si>
  <si>
    <t>Aero Vault</t>
  </si>
  <si>
    <t>Sipanji21</t>
  </si>
  <si>
    <t>Sipanji</t>
  </si>
  <si>
    <t>R$ 69,89</t>
  </si>
  <si>
    <t>imagens\Aero_Vault.png</t>
  </si>
  <si>
    <t>https://www.myfonts.com/pt/collections/aero-vault-font-sipanji21</t>
  </si>
  <si>
    <t>Graffiti Font, Cyberpunk Font, Tech Font, Futuristic Font, Street Font, Bold Font, Urban Font, Display Font, Gaming Font, Sci-fi Font, Techno Font, Digital Font, Glitch Font, Edgy Font, Creative Font, Robotic Font, Motion Font, Modern Font, Poster Font, Branding Font</t>
  </si>
  <si>
    <t>Elyota Dogla</t>
  </si>
  <si>
    <t>Ayska</t>
  </si>
  <si>
    <t>Dhoni Trihatmoko</t>
  </si>
  <si>
    <t>imagens\Elyota_Dogla.png</t>
  </si>
  <si>
    <t>https://www.myfonts.com/pt/collections/elyota-dogla-font-ayska</t>
  </si>
  <si>
    <t>Ideas Font, Script Font, Handwritten Font, Hand Lettered Font, Handwriting Font, Modern, Calligraphy Font, Signature Font, Swashes, Logo Font, Wedding Font, Website Font, Pretty Font, Casual, Chic Font, Ligature, Instagram, Web, Cursive, Elegant</t>
  </si>
  <si>
    <t>Caples</t>
  </si>
  <si>
    <t>Drizy Font</t>
  </si>
  <si>
    <t>Panca Ahmadi Hasan</t>
  </si>
  <si>
    <t>R$ 138,60</t>
  </si>
  <si>
    <t>imagens\Caples.png</t>
  </si>
  <si>
    <t>https://www.myfonts.com/pt/collections/caples-font-drizy-font</t>
  </si>
  <si>
    <t>Display, High Contrast, Reverse Contrast, Expanded, Rounded, Bubbly, Y2k, Modern, Futuristic</t>
  </si>
  <si>
    <t>Thio Filmen</t>
  </si>
  <si>
    <t>Twinletter</t>
  </si>
  <si>
    <t>Rozikan Rozikan</t>
  </si>
  <si>
    <t>imagens\Thio_Filmen.png</t>
  </si>
  <si>
    <t>https://www.myfonts.com/pt/collections/thio-filmen-font-twinletter</t>
  </si>
  <si>
    <t>Display, Action, Cartoon, Hero, Movie, Headline, Poster, Typography, Cinema, Film, Entertaiment, Bold, Modern, Premium, Creative, Branding, Show, Expressive, Dynamic, Title</t>
  </si>
  <si>
    <t>Under Mind Sans</t>
  </si>
  <si>
    <t>Multype Studio</t>
  </si>
  <si>
    <t>Mulia Yanto</t>
  </si>
  <si>
    <t>imagens\Under_Mind_Sans.png</t>
  </si>
  <si>
    <t>https://www.myfonts.com/pt/collections/under-mind-sans-font-multype-studio</t>
  </si>
  <si>
    <t>Under Mind Font, Sport Font, Racing Font, Bold Display Typeface, Modern Sans Serif, Athletic Typography, Esports Logo Font, Geometric Sans Font, Performance Typeface, Futuristic Font, Strong Display Font, Tech Font, Racing Logo Typeface, Modern Bold Typography, Energy Font, Dynamic Font, Motorsport Font, Headline Font, Power Display Font, All Caps Font</t>
  </si>
  <si>
    <t>Lova Bold</t>
  </si>
  <si>
    <t>R$ 64,52</t>
  </si>
  <si>
    <t>imagens\Lova_Bold.png</t>
  </si>
  <si>
    <t>https://www.myfonts.com/pt/collections/lova-bold-font-nirmana-visual</t>
  </si>
  <si>
    <t>Bold, Extrude, Playful, Logo, Branding, Poster, Retro, Food, Cafe, Menu, Quote, Ligature, Business Cards, Display</t>
  </si>
  <si>
    <t>Orenza Bold</t>
  </si>
  <si>
    <t>imagens\Orenza_Bold.png</t>
  </si>
  <si>
    <t>https://www.myfonts.com/pt/collections/orenza-bold-font-nirmana-visual</t>
  </si>
  <si>
    <t>Bold, Modern, Professional, Corporate, Logo, Clean, Strong, Website, Headlines, Business, Branding, Elegance</t>
  </si>
  <si>
    <t>Chalen</t>
  </si>
  <si>
    <t>imagens\Chalen.png</t>
  </si>
  <si>
    <t>https://www.myfonts.com/pt/collections/chalen-font-craft-supply-co</t>
  </si>
  <si>
    <t>Playful, Bold, Poster, Headline, Title, Cheerful, Typeface, Typography, Font, Eye Catching, Bubble, Fun, Childish, Kids, Joyful, Fashion</t>
  </si>
  <si>
    <t>Greathem</t>
  </si>
  <si>
    <t>Nian Keun Studio</t>
  </si>
  <si>
    <t>Mugi Raharjo</t>
  </si>
  <si>
    <t>imagens\Greathem.png</t>
  </si>
  <si>
    <t>https://www.myfonts.com/pt/collections/greathem-font-nian-keun-studio</t>
  </si>
  <si>
    <t>Experimental, Display, Tall Narraw, Minimalist Brutalist, Headline, Tittle, Impactful, Unique, Contrast, High, Condensed</t>
  </si>
  <si>
    <t>Cidway</t>
  </si>
  <si>
    <t>imagens\Cidway.png</t>
  </si>
  <si>
    <t>https://www.myfonts.com/pt/collections/cidway-font-drizy-font</t>
  </si>
  <si>
    <t>Display, Rounded, Slanted, Y2k, Bold, Condensed, Bubbly, Modern</t>
  </si>
  <si>
    <t>Ravex</t>
  </si>
  <si>
    <t>imagens\Ravex.png</t>
  </si>
  <si>
    <t>https://www.myfonts.com/pt/collections/ravex-font-only-fonts</t>
  </si>
  <si>
    <t>Futuristic, Techno, Sci Fi, Cyberpunk, Geometric, Angular, Display, Headline, Logo, Gaming, Esports, Modern Sans, High Tech, Modular, Alternates, Ligatures, Multilingual, Numeric, Web Design, Branding</t>
  </si>
  <si>
    <t>Chairo Sans</t>
  </si>
  <si>
    <t>Propertype</t>
  </si>
  <si>
    <t>Nadia Auliana</t>
  </si>
  <si>
    <t>R$ 688,15</t>
  </si>
  <si>
    <t>R$ 36,22</t>
  </si>
  <si>
    <t>imagens\Chairo_Sans.png</t>
  </si>
  <si>
    <t>https://www.myfonts.com/pt/collections/chairo-sans-font-propertype</t>
  </si>
  <si>
    <t>display serif, serif display, modern serif, serif family, serif text, serif bold, modern serifs, Elegant Serif, branding serif, wedding serif, contemporary serif, text family, super family, display family, wedding font family, family style, family font, Serif Italic, typedesign, Typography, opentype, logotypes, typeface, quality, branding font, Branding business, branding typeface, branding fonts, product branding, New Fonts, Hot New Fonts, logotype, logo design, logo font, text, contemporary, poster, poster typeface, heading, elegant, legible, family, HOT NEW, display, serif, new, wedding</t>
  </si>
  <si>
    <t>Denonea Racing Italic</t>
  </si>
  <si>
    <t>Konstantine Studio</t>
  </si>
  <si>
    <t>Abdilah</t>
  </si>
  <si>
    <t>imagens\Denonea_Racing_Italic.png</t>
  </si>
  <si>
    <t>https://www.myfonts.com/pt/collections/denonea-racing-italic-font-konstantinestudio</t>
  </si>
  <si>
    <t>Racing, Font, Speed, Automotive, Retro, Anime, Bold, Display, Italic, Futuristic, Vintage, Car, Motorsport, Fast, Retro Futurism, Arcade, Sport, Street, Poster, 90s</t>
  </si>
  <si>
    <t>Brew</t>
  </si>
  <si>
    <t>imagens\Brew.png</t>
  </si>
  <si>
    <t>https://www.myfonts.com/pt/collections/brew-font-typebae</t>
  </si>
  <si>
    <t>Bold, Fun, Playful, Display, Ligature, Underline, Quirky, Cartoon, Skater, Modern, Funky, Branding, Kid, Poster, Logo</t>
  </si>
  <si>
    <t>Backswings</t>
  </si>
  <si>
    <t>UICreative</t>
  </si>
  <si>
    <t>Hero</t>
  </si>
  <si>
    <t>R$ 198,92</t>
  </si>
  <si>
    <t>R$ 940,83</t>
  </si>
  <si>
    <t>R$ 94,08</t>
  </si>
  <si>
    <t>imagens\Backswings.png</t>
  </si>
  <si>
    <t>https://www.myfonts.com/pt/collections/backswings-font-uicreative</t>
  </si>
  <si>
    <t>60s, 70s, Aesthetic, Classical, Classy, Display, Elegant, Fonttypography, Luxury, Old, Retro, Serif, Typeface</t>
  </si>
  <si>
    <t>MC Anhork</t>
  </si>
  <si>
    <t>imagens\MC_Anhork.png</t>
  </si>
  <si>
    <t>https://www.myfonts.com/pt/collections/mc-anhork-font-maulana-creative</t>
  </si>
  <si>
    <t>Horror Font, Scary Typeface, Bold Display, Halloween Font, Spooky Design, Gothic Style, Movie Poster, Heavy Metal, Creepy Text, Game Title, Dark Aesthetic, Slashing Effect, Sharp Edges, Comic Book, Event Poster, Tattoo Design, Blackletter Style, Aggressive Font, Monster Movie, Brand Identity</t>
  </si>
  <si>
    <t>Royal Mirella</t>
  </si>
  <si>
    <t>imagens\Royal_Mirella.png</t>
  </si>
  <si>
    <t>https://www.myfonts.com/pt/collections/royal-mirella-font-rasio-studio</t>
  </si>
  <si>
    <t>Royal Mirella, Serif, Modern, Elegant, Classy, Refined, Timeless, Stylish, Luxury, Branding, Fashion, Decorative, Clean, Aesthetic, Magazine, Display, Beauty, Ornate</t>
  </si>
  <si>
    <t>Averique</t>
  </si>
  <si>
    <t>imagens\Averique.png</t>
  </si>
  <si>
    <t>https://www.myfonts.com/pt/collections/averique-font-rasio-studio</t>
  </si>
  <si>
    <t>Serif, Modern, Classic, Elegant, Display, Refined, Fashion, Luxury, Timeless, Stylish, Beauty, Branding, Chic, Vintage, Classy Font, Luxury Serif, Modern Serif</t>
  </si>
  <si>
    <t>Erethyl</t>
  </si>
  <si>
    <t>imagens\Erethyl.png</t>
  </si>
  <si>
    <t>https://www.myfonts.com/pt/collections/erethyl-font-denustudio</t>
  </si>
  <si>
    <t>Metal, Blackletter, Black Metal, Death Metal, Twigs, Satanic, Heavy Metal, Music, Hardcore, Gothic, Music Metal, Merchandise, Horror Font, Devil, T-Shirt, Apparel, Black Metal Logo, Skull Font, Tattoo, Halloween Font</t>
  </si>
  <si>
    <t>Lux Ocean</t>
  </si>
  <si>
    <t>Putracetol</t>
  </si>
  <si>
    <t>Putra Novembria Candra Kusuma</t>
  </si>
  <si>
    <t>imagens\Lux_Ocean.png</t>
  </si>
  <si>
    <t>https://www.myfonts.com/pt/collections/lux-ocean-font-putracetol</t>
  </si>
  <si>
    <t>Script Font, Doodle Font, Handwritten Font, Natural Font, Logo Font, Beach Font, Summer Font, Creative Font, Script Typeface, Doodle Script, Casual Font, Branding Font, Modern Script, Handwriting Font, Organic Font, Relaxed Font, Beach Vibe, Handmade Font, Luxury Script, Elegant Script</t>
  </si>
  <si>
    <t>Crevia</t>
  </si>
  <si>
    <t>R$ 118,28</t>
  </si>
  <si>
    <t>imagens\Crevia.png</t>
  </si>
  <si>
    <t>https://www.myfonts.com/pt/collections/crevia-font-putracetol</t>
  </si>
  <si>
    <t>Elegant Font, Serif Font, Luxury Font, Modern Font, Classy Font, Display Font, Logo Font, Branding Font, Stylish Font, Fashion Font, Magazine Font, Chic Font, Invitation Font, Packaging Font, Minimal Font, Premium Font, Elegant Serif, Uxury Serif, Title Font, Headline Font</t>
  </si>
  <si>
    <t>Heralon</t>
  </si>
  <si>
    <t>R$ 37,63</t>
  </si>
  <si>
    <t>imagens\Heralon.png</t>
  </si>
  <si>
    <t>https://www.myfonts.com/pt/collections/heralon-font-typebae</t>
  </si>
  <si>
    <t>Vintage, Serif, Decorative, Retro, Display, Ornate, Stylish, Headline, Logo, Poster, Packaging, Branding, Classic, Layered, Magazine</t>
  </si>
  <si>
    <t>MC Loogodan</t>
  </si>
  <si>
    <t>imagens\MC_Loogodan.png</t>
  </si>
  <si>
    <t>https://www.myfonts.com/pt/collections/mc-loogodan-font-maulana-creative</t>
  </si>
  <si>
    <t>Dripping Font, Brush Typeface, Horror Font, Halloween Font, Spooky Typography, Grungy Font, Slime Font, Liquid Effect, Scary Letters, Display Font, Bold Typeface, Monster Theme, Creepy Lettering, Hand-drawn Font, All Caps Font, Graffiti Style, Custom Logo Font, Edgy Design, Poster Font, T-shirt Design</t>
  </si>
  <si>
    <t>Cat Keriting</t>
  </si>
  <si>
    <t>Aisyah</t>
  </si>
  <si>
    <t>Nur Aiysah Amalia</t>
  </si>
  <si>
    <t>imagens\Cat_Keriting.png</t>
  </si>
  <si>
    <t>https://www.myfonts.com/pt/collections/cat-keriting-font-aisyah</t>
  </si>
  <si>
    <t>Handwriting, Cute Font, Lovely, Business, Branding, Creative, Child Handwriting, Kids, Chalkboard</t>
  </si>
  <si>
    <t>Papello</t>
  </si>
  <si>
    <t>Letterhend</t>
  </si>
  <si>
    <t>Hendry Juanda</t>
  </si>
  <si>
    <t>imagens\Papello.png</t>
  </si>
  <si>
    <t>https://www.myfonts.com/pt/collections/papello-font-letterhend</t>
  </si>
  <si>
    <t>Playful, Display, Fun, Handmade, Paper, Cutout, Crafty, Shadow, Layered, Bold, Cheerful, Creative, Irregular, Dynamic, Cartoon, Kids, Friendly, Textured, Colorful, Quirky</t>
  </si>
  <si>
    <t>Rockies Walking</t>
  </si>
  <si>
    <t>imagens\Rockies_Walking.png</t>
  </si>
  <si>
    <t>https://www.myfonts.com/pt/collections/rockies-walking-font-letterena-studios</t>
  </si>
  <si>
    <t>Bold Script, Calligraphy Font, Handwritten Font, Modern Script, Playful Typeface, Logo Font, Stylish Script, Brush Calligraphy, Display Font, Elegant Script, Cursive Typeface, Creative Font, Branding Font, Invitation Font, Headlines, Apparel Design, Advertising, Logotypes</t>
  </si>
  <si>
    <t>Jolly Bouncy</t>
  </si>
  <si>
    <t>imagens\Jolly_Bouncy.png</t>
  </si>
  <si>
    <t>https://www.myfonts.com/pt/collections/jolly-bouncy-font-rasio-studio</t>
  </si>
  <si>
    <t>Playful, Fun, Kids, Cute, Bouncy, Rounded, Sans Serif, Cartoon, Cheerful, Joyful, Friendly, Creative, Bold, Quirky, Sweet, Funny, Modern, Cute Lettering, Playful Font</t>
  </si>
  <si>
    <t>Doodle Mate</t>
  </si>
  <si>
    <t>imagens\Doodle_Mate.png</t>
  </si>
  <si>
    <t>https://www.myfonts.com/pt/collections/doodle-mate-font-putracetol</t>
  </si>
  <si>
    <t>Doodle Font, Brush Font, Bold Font, Handmade Font, Playful Font, Fun Font, Creative Font, Logo Font, Display Font, Thick Font, Casual Font, Artistic Font, Handdrawn Font, Modern Font, Expressive Font, Quirky Font, Design Font, Branding Font, Poster Font, Paint Font</t>
  </si>
  <si>
    <t>Elfis</t>
  </si>
  <si>
    <t>Letternesia studio</t>
  </si>
  <si>
    <t>Ta Siyo</t>
  </si>
  <si>
    <t>R$ 204,29</t>
  </si>
  <si>
    <t>imagens\Elfis.png</t>
  </si>
  <si>
    <t>https://www.myfonts.com/pt/collections/elfis-font-letternesia-studio</t>
  </si>
  <si>
    <t>Display, Logo, Serif, Brandin, Poster, Pamflet, Label, Advertaising, Mediasosial, Corporet, Desain, Hedline, Editing</t>
  </si>
  <si>
    <t>Grovina</t>
  </si>
  <si>
    <t>Artisan Themes</t>
  </si>
  <si>
    <t>Meidy Meichico</t>
  </si>
  <si>
    <t>imagens\Grovina.png</t>
  </si>
  <si>
    <t>https://www.myfonts.com/pt/collections/grovina-font-artisan-themes</t>
  </si>
  <si>
    <t>Retro Font, Vintage Font, Western Font, Biker Font, Car Font, Bold Font, Display Font, Speed Font, Vintage Lettering, Old Western Style, Typography, Retro Logo, Classic Display, Adventure Font, Groovy Font, Modern Retro Font, Poster Font, Signage Font, Logo Design Font</t>
  </si>
  <si>
    <t>Gurow</t>
  </si>
  <si>
    <t>imagens\Gurow.png</t>
  </si>
  <si>
    <t>https://www.myfonts.com/pt/collections/gurow-font-artisan-themes</t>
  </si>
  <si>
    <t>Retro Font, Pop Font, Funky Display Font, Bold Typeface, Vintage Vibe, Poster Font, Headline Font, Album Cover Font, Magazine Style, Groovy Font, Vibrant Font, Funky Design, Retro Aesthetic, Creative Display Font, Modern Retro, Artistic Typeface, Rebel, Youthful, Playful</t>
  </si>
  <si>
    <t>Good Children</t>
  </si>
  <si>
    <t>Mvmet</t>
  </si>
  <si>
    <t>Gabriel Valentinus</t>
  </si>
  <si>
    <t>imagens\Good_Children.png</t>
  </si>
  <si>
    <t>https://www.myfonts.com/pt/collections/good-children-font-mvmet</t>
  </si>
  <si>
    <t>Cute Fonts, Display Fonts, Kids Fonts, Playful Fonts, Candy Fonts, Whimsical, Handwriting, Playful, Handdrawn, Adorable, Handwritten, Logo Fonts, Casual, Friendly, Cartoon, Decorative, Children, Kindergarten, Teacher, School</t>
  </si>
  <si>
    <t>MC Loanzo</t>
  </si>
  <si>
    <t>imagens\MC_Loanzo.png</t>
  </si>
  <si>
    <t>https://www.myfonts.com/pt/collections/mc-loanzo-font-maulana-creative</t>
  </si>
  <si>
    <t>Display Font, Sans Serif, Futuristic Font, Modern Display, Tall Font, Condensed Font, Geometric Design, Bold Header, Futuristic Sans, Cyberpunk Font, Sci-fi Typography, Tech Branding, Digital Typeface, Clean Lines, Sharp Edges, Elegant Display, Branding Font, Logo Type, Headline Font, Fashion Typography</t>
  </si>
  <si>
    <t>Radvin</t>
  </si>
  <si>
    <t>R$ 30,91</t>
  </si>
  <si>
    <t>imagens\Radvin.png</t>
  </si>
  <si>
    <t>https://www.myfonts.com/pt/collections/radvin-font-typebae</t>
  </si>
  <si>
    <t>Serif, Retro, Modern, Bold, Vintage, Display, Stylish, Elegant, Branding, Headline, Magazine, Classic, Logo, Fashion, Decorative, Poster</t>
  </si>
  <si>
    <t>Noise Block</t>
  </si>
  <si>
    <t>imagens\Noise_Block.png</t>
  </si>
  <si>
    <t>https://www.myfonts.com/pt/collections/noise-block-font-sipanji21</t>
  </si>
  <si>
    <t>Pixel Font, Graffiti Font, Retro Font, Block Font, 8bit Font, Display Font, Street Font, Bold Font, Urban Font, Gaming Font, Techno Font, Arcade Font, Vintage Font, Glitch Font, Pixelated Font, Creative Font, Nostalgic Font, Digital Font, Poster Font, Modern Font</t>
  </si>
  <si>
    <t>Gonzaga</t>
  </si>
  <si>
    <t>Ivelina Martinova</t>
  </si>
  <si>
    <t>Vika Usmanova</t>
  </si>
  <si>
    <t>R$ 1.069,86</t>
  </si>
  <si>
    <t>R$ 53,49</t>
  </si>
  <si>
    <t>imagens\Gonzaga.png</t>
  </si>
  <si>
    <t>https://www.myfonts.com/pt/collections/gonzaga-font-fontfabric</t>
  </si>
  <si>
    <t>Serif, Classic, Emotion, Bold, Headlines, Branding, Packaging, Feestival, Versatility, Design, Balance, Contrast, Multilingual</t>
  </si>
  <si>
    <t>Toonyo</t>
  </si>
  <si>
    <t>imagens\Toonyo.png</t>
  </si>
  <si>
    <t>https://www.myfonts.com/pt/collections/toonyo-font-rasio-studio</t>
  </si>
  <si>
    <t>Toonyo, Display, Fun, Rounded, Playful, Kids, Cute, Bold, Friendly, Cheerful, Modern, Cartoon, Creative, Smooth, Minimal, Joyful, Branding</t>
  </si>
  <si>
    <t>Olana</t>
  </si>
  <si>
    <t>imagens\Olana.png</t>
  </si>
  <si>
    <t>https://www.myfonts.com/pt/collections/olana-font-putracetol</t>
  </si>
  <si>
    <t>Hawaiian Font, Bold Font, Tropical Font, Display Font, Logo Font, Summer Font, Beach Font, Island Font, Branding Font, Exotic Font, Fun Font, Travel Font, Retro Font, Playful Font, Surf Font, Adventure Font, Modern Display, Poster Font, Ocean Font, Headline Font</t>
  </si>
  <si>
    <t>Clouds Hotspot</t>
  </si>
  <si>
    <t>imagens\Clouds_Hotspot.png</t>
  </si>
  <si>
    <t>https://www.myfonts.com/pt/collections/clouds-hotspot-font-timelesstype-studio</t>
  </si>
  <si>
    <t>Futuristic Sporty Display, Futuristic, Display, Sporty, Tech, Modern, Geometric, Bold, Sci-fi, Digital, Gaming, Cyber, Speed, Technology, Innovation, Strong, High-Energy, Modular, Esports, Packaging Design</t>
  </si>
  <si>
    <t>Classica Motion</t>
  </si>
  <si>
    <t>imagens\Classica_Motion.png</t>
  </si>
  <si>
    <t>https://www.myfonts.com/pt/collections/classica-motion-font-timelesstype-studio</t>
  </si>
  <si>
    <t>Serif, Retro, Vintage, Display, Decorative, Bold, Classic, Groovy, 70s, Poster, Stylish, Nostalgic, Creative, Branding, Artistic, Decorative Serif, Display Text, Editorial, Apparel Branding</t>
  </si>
  <si>
    <t>Fogus Round</t>
  </si>
  <si>
    <t>Erifqizefont</t>
  </si>
  <si>
    <t>Eka Rifqi Setiawan</t>
  </si>
  <si>
    <t>imagens\Fogus_Round.png</t>
  </si>
  <si>
    <t>https://www.myfonts.com/pt/collections/fogus-round-font-erifqizefont</t>
  </si>
  <si>
    <t>Rounded, Bubble, Soft, Friendly, Playful, Cute, Happy, Kids, Fun, Display, Cloud, Joyful, Logo, Poster, Packaging, Smooth, Cartoon, Funny, Modern, Cheerful</t>
  </si>
  <si>
    <t>Grita</t>
  </si>
  <si>
    <t>imagens\Grita.png</t>
  </si>
  <si>
    <t>https://www.myfonts.com/pt/collections/grita-font-sensatype-studio</t>
  </si>
  <si>
    <t>Tech, Modern Tech, Modern Clean, Modern Technology, Digital, Modern, Technology, Branding, Font, Logo, Corporate, Futuristic, Startup, Clean, Minimal, Ui, Innovation, Sans</t>
  </si>
  <si>
    <t>Resonan Bastega</t>
  </si>
  <si>
    <t>Inviline</t>
  </si>
  <si>
    <t>Virgiawan Listanto</t>
  </si>
  <si>
    <t>imagens\Resonan_Bastega.png</t>
  </si>
  <si>
    <t>https://www.myfonts.com/pt/collections/resonan-bastega-font-inviline</t>
  </si>
  <si>
    <t>Script, Brush, Bold, Winter, Holiday, Textured, Handmade, Display, Modern, Casual, Lettering, Logo Font, Brush Script, Bold Script, Holiday Font, Winter Font, Branding Font, Poster Design, Cozy Aesthetic, Christmas</t>
  </si>
  <si>
    <t>Tomatillo PB</t>
  </si>
  <si>
    <t>Pink Broccoli</t>
  </si>
  <si>
    <t>Brian J. Bonislawsky</t>
  </si>
  <si>
    <t>imagens\Tomatillo_PB.png</t>
  </si>
  <si>
    <t>https://www.myfonts.com/pt/collections/tomatillo-pb-font-pink-broccoli</t>
  </si>
  <si>
    <t>Comics, Tom and Jerry, Vintage, Branding, Friendly, Offbeat, Animated, Sans-serif, Packaging</t>
  </si>
  <si>
    <t>Whyte Wyrm</t>
  </si>
  <si>
    <t>Comicraft</t>
  </si>
  <si>
    <t>Richard Starkings</t>
  </si>
  <si>
    <t>R$ 370,96</t>
  </si>
  <si>
    <t>R$ 46,37</t>
  </si>
  <si>
    <t>imagens\Whyte_Wyrm.png</t>
  </si>
  <si>
    <t>https://www.myfonts.com/pt/collections/whyte-wyrm-font-comicraft</t>
  </si>
  <si>
    <t>Ragged, Rough, Monster, Royer, Horror, Dc, Marvel, Ec, Worm, White</t>
  </si>
  <si>
    <t>Timbly</t>
  </si>
  <si>
    <t>imagens\Timbly.png</t>
  </si>
  <si>
    <t>https://www.myfonts.com/pt/collections/timbly-font-putracetol</t>
  </si>
  <si>
    <t>Rounded Font, Bold Font, Display Font, Modern Font, Playful Font, Street Font, Urban Font, Fashion Font, Logo Font, Branding Font, Sans Serif, Geometric Font, Soft Font, Smooth Font, Stylish Font, Streetwear Font, Creative Font, Magazine Font, Trendy Font, Cool Font</t>
  </si>
  <si>
    <t>Happy Chunk</t>
  </si>
  <si>
    <t>imagens\Happy_Chunk.png</t>
  </si>
  <si>
    <t>https://www.myfonts.com/pt/collections/happy-chunk-font-putracetol</t>
  </si>
  <si>
    <t>Playful Font, Food Font, Bold Display, Chunky Font, Logo Font, Restaurant Font, Menu Design, Branding Font, Kids Font, Headline Font, Poster Font, Creative Font, Fun Typeface, Bold Font, Quirky Font, Friendly Font, Handmade Font, Cafe Font, Advertising Font, Pizza Font</t>
  </si>
  <si>
    <t>Buson</t>
  </si>
  <si>
    <t>Iqbal Firdaus</t>
  </si>
  <si>
    <t>imagens\Buson.png</t>
  </si>
  <si>
    <t>https://www.myfonts.com/pt/collections/buson-font-typebae</t>
  </si>
  <si>
    <t>Retro, Serif, Display, Stylish, Vintage, Bold, Modern, Headline, Logo, Poster, Minimal, Psychedelic, Magazine, Elegant</t>
  </si>
  <si>
    <t>Blockron</t>
  </si>
  <si>
    <t>imagens\Blockron.png</t>
  </si>
  <si>
    <t>https://www.myfonts.com/pt/collections/blockron-font-putracetol</t>
  </si>
  <si>
    <t>Futuristic Font, Tech Font, Industrial Font, Display Font, Bold Font, Sci-fi Font, Cyber Font, Modern Font, Gaming Font, Digital Font, Robot Font, Mechanical Font, Strong Font, Geometric Font, Logo Font, Branding Font, Poster Font, Sci-fi Display, Tech Display, Cyberpunk Font</t>
  </si>
  <si>
    <t>Nority</t>
  </si>
  <si>
    <t>limitype</t>
  </si>
  <si>
    <t>Muhammad Muammar</t>
  </si>
  <si>
    <t>imagens\Nority.png</t>
  </si>
  <si>
    <t>https://www.myfonts.com/pt/collections/nority-font-limitype</t>
  </si>
  <si>
    <t>Bold, Unique, Chunky, Strong, Inktrap, Headline, Poster, Modern, Edgy, Heavy, Geometric, Powerful, Big, Eyecatching, Branding, Packaging, Digital, Display, Stylish, Impactful</t>
  </si>
  <si>
    <t>OT-NIS_CUL</t>
  </si>
  <si>
    <t>NIS Fonts</t>
  </si>
  <si>
    <t>R$ 430,09</t>
  </si>
  <si>
    <t>R$ 860,19</t>
  </si>
  <si>
    <t>R$ 430,10</t>
  </si>
  <si>
    <t>https://www.myfonts.com/pt/collections/ot-nis-cul-font-nis-fonts</t>
  </si>
  <si>
    <t>OT-NIS_NKRP</t>
  </si>
  <si>
    <t>https://www.myfonts.com/pt/collections/ot-nis-nkrp-font-nis-fonts</t>
  </si>
  <si>
    <t>OT-NIS_GIN</t>
  </si>
  <si>
    <t>https://www.myfonts.com/pt/collections/ot-nis-gin-font-nis-fonts</t>
  </si>
  <si>
    <t>OT-NIS_NIK</t>
  </si>
  <si>
    <t>https://www.myfonts.com/pt/collections/ot-nis-nik-font-nis-fonts</t>
  </si>
  <si>
    <t>OT-NIS_ARA</t>
  </si>
  <si>
    <t>R$ 1.290,28</t>
  </si>
  <si>
    <t>https://www.myfonts.com/pt/collections/ot-nis-ara-font-nis-fonts</t>
  </si>
  <si>
    <t>OT-NIS_JM</t>
  </si>
  <si>
    <t>https://www.myfonts.com/pt/collections/ot-nis-jm-font-nis-fonts</t>
  </si>
  <si>
    <t>OT-NIS_VM</t>
  </si>
  <si>
    <t>https://www.myfonts.com/pt/collections/ot-nis-vm-font-nis-fonts</t>
  </si>
  <si>
    <t>OT-NIS_CMS</t>
  </si>
  <si>
    <t>https://www.myfonts.com/pt/collections/ot-nis-cms-font-nis-fonts</t>
  </si>
  <si>
    <t>OT-NIS_A</t>
  </si>
  <si>
    <t>https://www.myfonts.com/pt/collections/ot-nis-a-font-nis-fonts</t>
  </si>
  <si>
    <t>OT-NIS_Z</t>
  </si>
  <si>
    <t>R$ 429,81</t>
  </si>
  <si>
    <t>R$ 1.289,44</t>
  </si>
  <si>
    <t>https://www.myfonts.com/pt/collections/ot-nis-z-font-nis-fonts</t>
  </si>
  <si>
    <t>OT-NIS_MAI</t>
  </si>
  <si>
    <t>https://www.myfonts.com/pt/collections/ot-nis-mai-font-nis-fonts</t>
  </si>
  <si>
    <t>OT-NIS_HEM</t>
  </si>
  <si>
    <t>https://www.myfonts.com/pt/collections/ot-nis-hem-font-nis-fonts</t>
  </si>
  <si>
    <t>OT-NIS_HM</t>
  </si>
  <si>
    <t>https://www.myfonts.com/pt/collections/ot-nis-hm-font-nis-fonts</t>
  </si>
  <si>
    <t>OT-NIS_ANN</t>
  </si>
  <si>
    <t>https://www.myfonts.com/pt/collections/ot-nis-ann-font-nis-fonts</t>
  </si>
  <si>
    <t>OT-NIS_NKR</t>
  </si>
  <si>
    <t>R$ 2.578,89</t>
  </si>
  <si>
    <t>R$ 429,82</t>
  </si>
  <si>
    <t>imagens\OT-NIS_NKR.png</t>
  </si>
  <si>
    <t>https://www.myfonts.com/pt/collections/ot-nis-nkr-font-nis-fonts</t>
  </si>
  <si>
    <t>Frost Line</t>
  </si>
  <si>
    <t>Fidan Fonts</t>
  </si>
  <si>
    <t>Fidan Aslanova</t>
  </si>
  <si>
    <t>R$ 64,47</t>
  </si>
  <si>
    <t>R$ 209,53</t>
  </si>
  <si>
    <t>R$ 52,38</t>
  </si>
  <si>
    <t>imagens\Frost_Line.png</t>
  </si>
  <si>
    <t>https://www.myfonts.com/pt/collections/frost-line-font-fidan-fonts</t>
  </si>
  <si>
    <t>Frost, Script, Typeface, Regular, Light, Smooth, Rough, Textured, New Year, Christmas, Merry, Holiday, Holidays, Line, Linear, Thin, Handwritten, Positive, Snow, Decorative</t>
  </si>
  <si>
    <t>OT-NIS_AYA</t>
  </si>
  <si>
    <t>https://www.myfonts.com/pt/collections/ot-nis-aya-font-nis-fonts</t>
  </si>
  <si>
    <t>Shalefrost Nova</t>
  </si>
  <si>
    <t>Andfonts</t>
  </si>
  <si>
    <t>Andrii Shevchyk</t>
  </si>
  <si>
    <t>R$ 102,08</t>
  </si>
  <si>
    <t>imagens\Shalefrost_Nova.png</t>
  </si>
  <si>
    <t>https://www.myfonts.com/pt/collections/shalefrost-nova-font-andfonts</t>
  </si>
  <si>
    <t>Winter-Inspired Calligraphy, Calligraphy, Winter, Modern Script, Luxury, Greetings, Artistic, Script, Traditional Font, Beautiful, Rich Style Font, Hotel Sign, Bakery, Poster, Font Invitation, Xmas, Sophisticated, Beauty, Fashionable, Stylish</t>
  </si>
  <si>
    <t>OT-NIS_UTA</t>
  </si>
  <si>
    <t>R$ 859,63</t>
  </si>
  <si>
    <t>https://www.myfonts.com/pt/collections/ot-nis-uta-font-nis-fonts</t>
  </si>
  <si>
    <t>OT-UGD</t>
  </si>
  <si>
    <t>R$ 1.719,26</t>
  </si>
  <si>
    <t>https://www.myfonts.com/pt/collections/ot-ugd-font-nis-fonts</t>
  </si>
  <si>
    <t>OT-NIS_BK</t>
  </si>
  <si>
    <t>https://www.myfonts.com/pt/collections/ot-nis-bk-font-nis-fonts</t>
  </si>
  <si>
    <t>Lodbrok</t>
  </si>
  <si>
    <t>vatesdesign</t>
  </si>
  <si>
    <t>Aleksey Ivanov</t>
  </si>
  <si>
    <t>R$ 80,59</t>
  </si>
  <si>
    <t>imagens\Lodbrok.png</t>
  </si>
  <si>
    <t>https://www.myfonts.com/pt/collections/lodbrok-font-vatesdesign</t>
  </si>
  <si>
    <t>Gothic, Viking, Uncial, Calligraphic, Medieval, Beer Font, Celtic, Irush, Wicca, Lord Of The Rings, Gaming Font, Church, Heavy Metal, Heritage, Historical, Bible</t>
  </si>
  <si>
    <t>OT-NIS_SM</t>
  </si>
  <si>
    <t>https://www.myfonts.com/pt/collections/ot-nis-sm-font-nis-fonts</t>
  </si>
  <si>
    <t>OT-NIS_HEG</t>
  </si>
  <si>
    <t>https://www.myfonts.com/pt/collections/ot-nis-heg-font-nis-fonts</t>
  </si>
  <si>
    <t>OT-NIS_HER</t>
  </si>
  <si>
    <t>https://www.myfonts.com/pt/collections/ot-nis-her-font-nis-fonts</t>
  </si>
  <si>
    <t>OT-UGB</t>
  </si>
  <si>
    <t>https://www.myfonts.com/pt/collections/ot-ugb-font-nis-fonts</t>
  </si>
  <si>
    <t>OT-NIS_SMH</t>
  </si>
  <si>
    <t>R$ 3.008,70</t>
  </si>
  <si>
    <t>imagens\OT-NIS_SMH.png</t>
  </si>
  <si>
    <t>https://www.myfonts.com/pt/collections/ot-nis-smh-font-nis-fonts</t>
  </si>
  <si>
    <t>OT-NIS_KYO</t>
  </si>
  <si>
    <t>https://www.myfonts.com/pt/collections/ot-nis-kyo-font-nis-fonts</t>
  </si>
  <si>
    <t>OT-NIS_WARI</t>
  </si>
  <si>
    <t>https://www.myfonts.com/pt/collections/ot-nis-wari-font-nis-fonts</t>
  </si>
  <si>
    <t>OT-NIS_S</t>
  </si>
  <si>
    <t>imagens\OT-NIS_S.png</t>
  </si>
  <si>
    <t>https://www.myfonts.com/pt/collections/ot-nis-s-font-nis-fonts</t>
  </si>
  <si>
    <t>Dashiell Bright</t>
  </si>
  <si>
    <t>Signal</t>
  </si>
  <si>
    <t>Max Phillips</t>
  </si>
  <si>
    <t>R$ 322,36</t>
  </si>
  <si>
    <t>R$ 1.547,33</t>
  </si>
  <si>
    <t>R$ 128,94</t>
  </si>
  <si>
    <t>imagens\Dashiell_Bright.png</t>
  </si>
  <si>
    <t>https://www.myfonts.com/pt/collections/dashiell-bright-font-signal</t>
  </si>
  <si>
    <t>Serif, Garalde, Book, Readable, Classic, Elegant</t>
  </si>
  <si>
    <t>Coraline</t>
  </si>
  <si>
    <t>Zafira Type</t>
  </si>
  <si>
    <t>Su Hirno</t>
  </si>
  <si>
    <t>R$ 96,71</t>
  </si>
  <si>
    <t>R$ 51,04</t>
  </si>
  <si>
    <t>imagens\Coraline.png</t>
  </si>
  <si>
    <t>https://www.myfonts.com/pt/collections/coraline-font-zafira-type</t>
  </si>
  <si>
    <t>Serif, Display, Stylist, Branding, Elegant, Fashion, Logo, Magazine, Classy, Clothing, Cosmetic, Beautiful, Headline, Minimalist, Advertising, Busines, Feminine, Soft, Casual, Web Font, Packaging, Modern</t>
  </si>
  <si>
    <t>Tavero</t>
  </si>
  <si>
    <t>imagens\Tavero.png</t>
  </si>
  <si>
    <t>https://www.myfonts.com/pt/collections/tavero-font-erifqizefont</t>
  </si>
  <si>
    <t>Modern, Sans, Sansserif, Clean, Minimal, Geometric, Elegant, Contemporary, Professional, Branding, Typography, Display, Logo, Readable, Stylish, Versatile, Editorial, Corporate, Simplicity, Timeless</t>
  </si>
  <si>
    <t>Cheery Lines</t>
  </si>
  <si>
    <t>imagens\Cheery_Lines.png</t>
  </si>
  <si>
    <t>https://www.myfonts.com/pt/collections/cheery-lines-font-amarlettering</t>
  </si>
  <si>
    <t>Handwritten, Script, Stylish, Elegant, Modern, Delicate, Branding, Logo, Creative, T-shirt, Packaging, Feminine, Smooth, Cursive, Signature, Soft, Playful, Calligraphy, Flowing, Aesthetic</t>
  </si>
  <si>
    <t>Konnichiwa Genki</t>
  </si>
  <si>
    <t>R$ 75,22</t>
  </si>
  <si>
    <t>imagens\Konnichiwa_Genki.png</t>
  </si>
  <si>
    <t>https://www.myfonts.com/pt/collections/konnichiwa-genki-font-herry92</t>
  </si>
  <si>
    <t>Handwritten, Handriwitting, Japanese, Displayfont, Kanjifont, Calligraphy Font, Logomark, Classy Font, Stylish Font, Branding, Friendly, Japan Style, Art Traditional, Organicfont, Energetic and Authentic, Brush Calligraphy, Calligraphy, Artisticfont</t>
  </si>
  <si>
    <t>OT-NIS_FG</t>
  </si>
  <si>
    <t>https://www.myfonts.com/pt/collections/ot-nis-fg-font-nis-fonts</t>
  </si>
  <si>
    <t>OT-NIS_NK</t>
  </si>
  <si>
    <t>https://www.myfonts.com/pt/collections/ot-nis-nk-font-nis-fonts</t>
  </si>
  <si>
    <t>OT-NIS_ZM</t>
  </si>
  <si>
    <t>https://www.myfonts.com/pt/collections/ot-nis-zm-font-nis-fonts</t>
  </si>
  <si>
    <t>OT-NIS_SMS</t>
  </si>
  <si>
    <t>imagens\OT-NIS_SMS.png</t>
  </si>
  <si>
    <t>https://www.myfonts.com/pt/collections/ot-nis-sms-font-nis-fonts</t>
  </si>
  <si>
    <t>OT-NIS_R</t>
  </si>
  <si>
    <t>R$ 2.149,07</t>
  </si>
  <si>
    <t>imagens\OT-NIS_R.png</t>
  </si>
  <si>
    <t>https://www.myfonts.com/pt/collections/ot-nis-r-font-nis-fonts</t>
  </si>
  <si>
    <t>OT-NIS_JYA</t>
  </si>
  <si>
    <t>https://www.myfonts.com/pt/collections/ot-nis-jya-font-nis-fonts</t>
  </si>
  <si>
    <t>OT-NIS_AGM</t>
  </si>
  <si>
    <t>https://www.myfonts.com/pt/collections/ot-nis-agm-font-nis-fonts</t>
  </si>
  <si>
    <t>OT-NIS_K</t>
  </si>
  <si>
    <t>https://www.myfonts.com/pt/collections/ot-nis-k-font-nis-fonts</t>
  </si>
  <si>
    <t>OT-NIS_ZEDO</t>
  </si>
  <si>
    <t>https://www.myfonts.com/pt/collections/ot-nis-zedo-font-nis-fonts</t>
  </si>
  <si>
    <t>OT-NIS_KAG</t>
  </si>
  <si>
    <t>https://www.myfonts.com/pt/collections/ot-nis-kag-font-nis-fonts</t>
  </si>
  <si>
    <t>OT-NIS_MPM</t>
  </si>
  <si>
    <t>imagens\OT-NIS_MPM.png</t>
  </si>
  <si>
    <t>https://www.myfonts.com/pt/collections/ot-nis-mpm-font-nis-fonts</t>
  </si>
  <si>
    <t>OT-NIS_NP</t>
  </si>
  <si>
    <t>https://www.myfonts.com/pt/collections/ot-nis-np-font-nis-fonts</t>
  </si>
  <si>
    <t>OT-NIS_TAK</t>
  </si>
  <si>
    <t>https://www.myfonts.com/pt/collections/ot-nis-tak-font-nis-fonts</t>
  </si>
  <si>
    <t>OT-NIS_MPS</t>
  </si>
  <si>
    <t>imagens\OT-NIS_MPS.png</t>
  </si>
  <si>
    <t>https://www.myfonts.com/pt/collections/ot-nis-mps-font-nis-fonts</t>
  </si>
  <si>
    <t>OT-NIS_WKS</t>
  </si>
  <si>
    <t>https://www.myfonts.com/pt/collections/ot-nis-wks-font-nis-fonts</t>
  </si>
  <si>
    <t>OT-NIS_WKL</t>
  </si>
  <si>
    <t>https://www.myfonts.com/pt/collections/ot-nis-wkl-font-nis-fonts</t>
  </si>
  <si>
    <t>Milegance</t>
  </si>
  <si>
    <t>R$ 91,34</t>
  </si>
  <si>
    <t>imagens\Milegance.png</t>
  </si>
  <si>
    <t>https://www.myfonts.com/pt/collections/milegance-font-letterena-studios</t>
  </si>
  <si>
    <t>serif, 80s, magazine, old-fashioned, loud, greeting card, wedding invitation, fat serif, stylish serif, modern, summer, beach, trendy, feminine, feminine serif, feminine brand, feminine branding, feminine logo, skincare</t>
  </si>
  <si>
    <t>Trekfox Hunter</t>
  </si>
  <si>
    <t>imagens\Trekfox_Hunter.png</t>
  </si>
  <si>
    <t>https://www.myfonts.com/pt/collections/trekfox-hunter-font-letterena-studios</t>
  </si>
  <si>
    <t>fashionable, magazine, bold, elegant, eighties, formal, playful, advert, food, book, dramatic, big, summer, beach, trendy, feminine, feminine brand, feminine logo, skincare</t>
  </si>
  <si>
    <t>Ongunkan Elder Futhark Karablgs</t>
  </si>
  <si>
    <t>Runic World Tamgacı</t>
  </si>
  <si>
    <t>Osman Nuri ALKAN</t>
  </si>
  <si>
    <t>R$ 805,90</t>
  </si>
  <si>
    <t>imagens\Ongunkan_Elder_Futhark_Karablgs.png</t>
  </si>
  <si>
    <t>https://www.myfonts.com/pt/collections/ongunkan-elder-futhark-karablgs-font-runic-world-tamgaci</t>
  </si>
  <si>
    <t>Elder Futhark, Futhark, Runic, Karabalgasun, Academic, Scientific, Historical, Typography, Book, Research, Norman, Viking</t>
  </si>
  <si>
    <t>Plavor</t>
  </si>
  <si>
    <t>R$ 112,83</t>
  </si>
  <si>
    <t>R$ 56,42</t>
  </si>
  <si>
    <t>imagens\Plavor.png</t>
  </si>
  <si>
    <t>https://www.myfonts.com/pt/collections/plavor-font-jafar07</t>
  </si>
  <si>
    <t>Berloja Satfline</t>
  </si>
  <si>
    <t>imagens\Berloja_Satfline.png</t>
  </si>
  <si>
    <t>https://www.myfonts.com/pt/collections/berloja-satfline-font-letterena-studios</t>
  </si>
  <si>
    <t>branding, elegant, expensive, cosmetics, organic, big, classic, old-fashioned, fat serif, stylish serif, modern, beach, trendy, feminine, feminine serif, feminine brand, feminine branding, feminine logo, skincare</t>
  </si>
  <si>
    <t>Happy Kindergarten</t>
  </si>
  <si>
    <t>R$ 85,96</t>
  </si>
  <si>
    <t>imagens\Happy_Kindergarten.png</t>
  </si>
  <si>
    <t>https://www.myfonts.com/pt/collections/happy-kindergarten-font-mvmet</t>
  </si>
  <si>
    <t>Casual Hand Writing, Writing, Authentic, Natural Handwriting, Hand-writing, Handwritten, Authentic Handwriting, Pencil, Casual Script, Handmade, Pencil Script, Hand Script, Hand Lettering, Script Handwriting, Handwriting, Handmade Handwriting, Casual Handwriting, Thin, Daily Font, Playful, Book Fonts, Note Fonts, Procreate, T-shirt Fonts, Christmas, Halloween, Canva, Children Fonts, Kid Fonts, Back To School Fonts, School Fonts, Teacher Fonts, Back To School, Book Cover Fonts, Branding Fonts, Cute Fonts, Casual Fonts, Chalk Board Fonts, Comic Fonts, Cartoon Fonts, Child Fonts, Display Fonts, Home School Fonts, Kindergarten Fonts, Education Fonts, Board Fonts, Kids, Children, Teacher, School</t>
  </si>
  <si>
    <t>Seraline Orchid</t>
  </si>
  <si>
    <t>R$ 134,32</t>
  </si>
  <si>
    <t>R$ 67,16</t>
  </si>
  <si>
    <t>imagens\Seraline_Orchid.png</t>
  </si>
  <si>
    <t>https://www.myfonts.com/pt/collections/seraline-orchid-font-jafar07</t>
  </si>
  <si>
    <t>Serif, Display, Modern, Luxury, Editorial, Ligature, Typography, Branding, Typeface, Font, Fashion, Magazine, Elegant, Design, Classic</t>
  </si>
  <si>
    <t>Lamora</t>
  </si>
  <si>
    <t>imagens\Lamora.png</t>
  </si>
  <si>
    <t>https://www.myfonts.com/pt/collections/lamora-font-typebae</t>
  </si>
  <si>
    <t>Luxury, Elegant, Modern, Logo, Sans, Minimal, Fashion, Branding, Display, Stylish, Classy, Chic, Corporate, Brand, Decorative</t>
  </si>
  <si>
    <t>Casselin</t>
  </si>
  <si>
    <t>imagens\Casselin.png</t>
  </si>
  <si>
    <t>https://www.myfonts.com/pt/collections/casselin-font-letterena-studios</t>
  </si>
  <si>
    <t>vintage, wedding, logo, branding, greeting card, wedding invitation, fat serif, stylish serif, modern, summer, beach, trendy, feminine, feminine serif, feminine brand, feminine branding, feminine logo, skincare</t>
  </si>
  <si>
    <t>IT Oonelle</t>
  </si>
  <si>
    <t>Indotype</t>
  </si>
  <si>
    <t>Dede Kurniawan</t>
  </si>
  <si>
    <t>R$ 150,44</t>
  </si>
  <si>
    <t>imagens\IT_Oonelle.png</t>
  </si>
  <si>
    <t>https://www.myfonts.com/pt/collections/it-oonelle-font-creatifont-studio</t>
  </si>
  <si>
    <t>Serif, Elegant, Serif Display, Elegant Font, Luxury Font, Editorial Font, Magazine Font, Classic Serif, Modern Serif, Typography Design, Font Design, Type Design, Indotype, High Fashion Font, Luxury Branding, Wedding Font, Stylish Font, Ligature Font, Alternate Font, Timeless Design</t>
  </si>
  <si>
    <t>Lineta</t>
  </si>
  <si>
    <t>R$ 107,45</t>
  </si>
  <si>
    <t>imagens\Lineta.png</t>
  </si>
  <si>
    <t>https://www.myfonts.com/pt/collections/lineta-font-only-fonts</t>
  </si>
  <si>
    <t>Calligraphy, Elegant, Script, Handwritten, Feminine, Romantic, Wedding, Invitation, Branding, Signature, Floral, Graceful, Artistic, Greeting Card, Modern Calligraphy, Packaging, Stylish, Delicate Social Media, Quotes</t>
  </si>
  <si>
    <t>Auralique Script Pro</t>
  </si>
  <si>
    <t>Letterfreshstudio</t>
  </si>
  <si>
    <t>Rizki Andika</t>
  </si>
  <si>
    <t>R$ 316,99</t>
  </si>
  <si>
    <t>R$ 31,70</t>
  </si>
  <si>
    <t>imagens\Auralique_Script_Pro.png</t>
  </si>
  <si>
    <t>https://www.myfonts.com/pt/collections/auralique-script-pro-font-letterfreshstudio</t>
  </si>
  <si>
    <t>Font, Script Variable, Modern Variable, Font Family, Script, Branding, Wedding, Cards, Ligatures, Alternates, Magazines, Casual, Visual, Packaging Scripts, Logo Font, Variable-font, Typeface, Elegant, Vintage, New Font</t>
  </si>
  <si>
    <t>Emoria Brush</t>
  </si>
  <si>
    <t>imagens\Emoria_Brush.png</t>
  </si>
  <si>
    <t>https://www.myfonts.com/pt/collections/emoria-brush-font-genetype</t>
  </si>
  <si>
    <t>Brush, Expressive, Handpainted, Handbrush, Handwritten, Grunge, Street, Energetic, Bold, Script, Wild, Graffiti, Expressive Brush, Poster, Branding, Logo, Music, Album, Streetwear, Dynamic</t>
  </si>
  <si>
    <t>Rose torture</t>
  </si>
  <si>
    <t>Alit Design</t>
  </si>
  <si>
    <t>Alit Suarnegara</t>
  </si>
  <si>
    <t>imagens\Rose_torture.png</t>
  </si>
  <si>
    <t>https://www.myfonts.com/pt/collections/rose-torture-font-alit-design</t>
  </si>
  <si>
    <t>Rose Torture, Rose Torture Font, Dark Gothic Font, Gothic Font, Blackletter Font, Metal Font, Metal Logo Font, Music Font, Horror Font, Brutalist Font, Thorny Font, Rose Font, Sharp Font, Display Font, Decorative Font, Logo Font</t>
  </si>
  <si>
    <t>Allure Majestic</t>
  </si>
  <si>
    <t>R$ 198,79</t>
  </si>
  <si>
    <t>R$ 940,22</t>
  </si>
  <si>
    <t>R$ 94,02</t>
  </si>
  <si>
    <t>imagens\Allure_Majestic.png</t>
  </si>
  <si>
    <t>https://www.myfonts.com/pt/collections/allure-majestic-font-uicreative</t>
  </si>
  <si>
    <t>Elcherin</t>
  </si>
  <si>
    <t>R$ 155,81</t>
  </si>
  <si>
    <t>imagens\Elcherin.png</t>
  </si>
  <si>
    <t>https://www.myfonts.com/pt/collections/elcherin-font-rasio-studio</t>
  </si>
  <si>
    <t>Serif, Elegant, Display, Luxury, Classic, Modern, Vintage, Refined, Magazine, Fashion, Chic, Typography, Beauty, Timeless, Stylish, Luxury Font, Decorative, Headline, Elegant Serif, Premium</t>
  </si>
  <si>
    <t>Flower Balisteno</t>
  </si>
  <si>
    <t>Gatype</t>
  </si>
  <si>
    <t>khaidir</t>
  </si>
  <si>
    <t>R$ 77,91</t>
  </si>
  <si>
    <t>imagens\Flower_Balisteno.png</t>
  </si>
  <si>
    <t>https://www.myfonts.com/pt/collections/flower-balisteno-font-gatype</t>
  </si>
  <si>
    <t>Display, Modern, Holiday, Great Font, Extralight, Elegant, Capital, Business, Alternates, Unique Serif, Legible, Casual, Typography, Summer, Stationery, Shadow, Modern Style, Opentype, Packinging, Magazine</t>
  </si>
  <si>
    <t>Sherly Kitchen</t>
  </si>
  <si>
    <t>Blankids</t>
  </si>
  <si>
    <t>Bangkit Tri Setiadi</t>
  </si>
  <si>
    <t>imagens\Sherly_Kitchen.png</t>
  </si>
  <si>
    <t>https://www.myfonts.com/pt/collections/sherly-kitchen-font-blankids</t>
  </si>
  <si>
    <t>Serif Font, Classic Serif, Food Font, Delicious Font, Vintage Serif Font, Classic Serif Font, Retro Serif Font, Elegant Serif Font, Classy Serif Font, Chic Serif Font, Trendy Serif Font, Aesthetic Serif Font, Artsy Serif Font, Cafe, Bakery, Signage Serif Font, 80s Font, 70s Font, 60s Font</t>
  </si>
  <si>
    <t>Maista</t>
  </si>
  <si>
    <t>Koplexs Studio</t>
  </si>
  <si>
    <t>Ahmad Muslimin</t>
  </si>
  <si>
    <t>imagens\Maista.png</t>
  </si>
  <si>
    <t>https://www.myfonts.com/pt/collections/maista-font-koplexs-studio</t>
  </si>
  <si>
    <t>Serif Font, Modern Font, Elegant Font, Branding Font, Aesthetic Font, Logo Font, Luxury Font, Heading, Poster, Cover, Headline, Display, Packaging, Label, Cosmetic</t>
  </si>
  <si>
    <t>TRT Naron</t>
  </si>
  <si>
    <t>True Type Lab</t>
  </si>
  <si>
    <t>Yusilo Oktaprima Ardani</t>
  </si>
  <si>
    <t>R$ 96,65</t>
  </si>
  <si>
    <t>R$ 171,87</t>
  </si>
  <si>
    <t>R$ 21,48</t>
  </si>
  <si>
    <t>imagens\TRT_Naron.png</t>
  </si>
  <si>
    <t>https://www.myfonts.com/pt/collections/trt-naron-font-true-type-lab</t>
  </si>
  <si>
    <t>Font, Sans Serif, Branding, Bold, Typeface, Poster, Magazine, Clean Sans, Modern Sans, Variable, Company, Corporate, Minimal Font, Timeless Font, Condensed Font, Extended Font, Editorial, Body Text Font, Logo Font, Clean Modern Font</t>
  </si>
  <si>
    <t>Lovable Christmas</t>
  </si>
  <si>
    <t>Seemly Fonts</t>
  </si>
  <si>
    <t>Md Shohail Bhuian</t>
  </si>
  <si>
    <t>imagens\Lovable_Christmas.png</t>
  </si>
  <si>
    <t>https://www.myfonts.com/pt/collections/lovable-christmas-font-seemly-fonts</t>
  </si>
  <si>
    <t>Christmas, Christmas Font, Handwritten, Handwriting, Script Font, Display Font, Modern Font, New Font, Banner Font, Fresh Font, Decorative Font</t>
  </si>
  <si>
    <t>Ballpoint Strokes</t>
  </si>
  <si>
    <t>imagens\Ballpoint_Strokes.png</t>
  </si>
  <si>
    <t>https://www.myfonts.com/pt/collections/ballpoint-strokes-font-mvmet</t>
  </si>
  <si>
    <t>Writing, Authentic, Natural Handwriting, Handwritten, Authentic Handwriting, Ballpoint, Casual Script, Handmade, Pen Script, Hand Script, Daily Typing, Hand Lettering, Script Handwriting, Handwriting, Casual Handwriting, Pen, Thin, Daily Font, Spontaneous, Marker</t>
  </si>
  <si>
    <t>Royal Wisdom</t>
  </si>
  <si>
    <t>imagens\Royal_Wisdom.png</t>
  </si>
  <si>
    <t>https://www.myfonts.com/pt/collections/royal-wisdom-font-heinzel-std</t>
  </si>
  <si>
    <t>Handwritten Font, Script Font, Cursive Font, Wedding Font, Branding Font, Handwriting Font, Procreate Font, Cricut Font, Canva Font, Modern Script Font, Modern Font, Calligraphy Font, Wedding Script Font, Cursive Handwritten, Digital Font, Font Download, Commercial Use, Magazine Font, Headline Font, Fancy Font</t>
  </si>
  <si>
    <t>Brithalia</t>
  </si>
  <si>
    <t>Bayuktx</t>
  </si>
  <si>
    <t>Bayu Aji Fais Mursid</t>
  </si>
  <si>
    <t>imagens\Brithalia.png</t>
  </si>
  <si>
    <t>https://www.myfonts.com/pt/collections/brithalia-font-bayuktx</t>
  </si>
  <si>
    <t>Signature, Script, Brush, Typography, Handwriting, Handwritten, Wedding, Beauty, Modern, Stylish, Fashion, Elegant, Luxury, Template, Banner, Typeface, Feminine, Aesthetic, Watermark, Invitation</t>
  </si>
  <si>
    <t>Rapika Logical</t>
  </si>
  <si>
    <t>Tini Fitriani</t>
  </si>
  <si>
    <t>imagens\Rapika_Logical.png</t>
  </si>
  <si>
    <t>https://www.myfonts.com/pt/collections/rapika-logical-font-tini-fitriani</t>
  </si>
  <si>
    <t>Handwritten, Quirky, Kids, Cute, Playful, Retro, Vintage, Summer Font, Children, Casual Font, Handwriting, Script Font, Notes, Written Note, Sticky Notes, Menu, Comic, Notebook, Cartoon, Kinder Font</t>
  </si>
  <si>
    <t>Two Left Feet</t>
  </si>
  <si>
    <t>One Eyed Squid</t>
  </si>
  <si>
    <t>imagens\Two_Left_Feet.png</t>
  </si>
  <si>
    <t>https://www.myfonts.com/pt/collections/two-left-feet-font-one-eyed-squid</t>
  </si>
  <si>
    <t>Quirky, Offbeat, Inked, Brush, Handwritten, Bounce, Display</t>
  </si>
  <si>
    <t>El Pacre</t>
  </si>
  <si>
    <t>Hishand Studio</t>
  </si>
  <si>
    <t>Putu Dody Permana</t>
  </si>
  <si>
    <t>R$ 35,82</t>
  </si>
  <si>
    <t>imagens\El_Pacre.png</t>
  </si>
  <si>
    <t>https://www.myfonts.com/pt/collections/el-pacre-font-hishand-studio</t>
  </si>
  <si>
    <t>Serif, Display, Modern, Classic, Cool, Branding, Logotype, Aesthetic, El Pacre, Logo, Bold, Aesthetic Bold Serif, Bold Serif, Luxury, Luxury Font, Cool Font, Fancy Font, Fashion Font</t>
  </si>
  <si>
    <t>Mocha Dahlia</t>
  </si>
  <si>
    <t>imagens\Mocha_Dahlia.png</t>
  </si>
  <si>
    <t>https://www.myfonts.com/pt/collections/mocha-dahlia-font-letterena-studios</t>
  </si>
  <si>
    <t>serif, retro, vintage, wedding, style, fashion, greeting card, fat serif, stylish serif, modern, summer, beach, trendy, feminine, feminine serif, feminine brand, feminine branding, feminine logo, skincare</t>
  </si>
  <si>
    <t>Simple daily writing</t>
  </si>
  <si>
    <t>Cocodesign</t>
  </si>
  <si>
    <t>Muhammad Zaini</t>
  </si>
  <si>
    <t>R$ 53,73</t>
  </si>
  <si>
    <t>R$ 48,36</t>
  </si>
  <si>
    <t>imagens\Simple_daily_writing.png</t>
  </si>
  <si>
    <t>https://www.myfonts.com/pt/collections/simple-daily-writing-font-cocodesign</t>
  </si>
  <si>
    <t>Handwriting, Handwritten, Font Duo, Modern Handwriting, Casual Script, Daily Writing, Simple Handwriting, Neat Handwriting, Clean Font, Journal Font, Notebook Font, Natural Script, Simple Writing, Modern Handwrite, Smooth Handwriting, Cute Font, Planner Font, Soft Handwriting</t>
  </si>
  <si>
    <t>Mortal Reign</t>
  </si>
  <si>
    <t>Ferry Ardana Putra</t>
  </si>
  <si>
    <t>R$ 1.069,16</t>
  </si>
  <si>
    <t>imagens\Mortal_Reign.png</t>
  </si>
  <si>
    <t>https://www.myfonts.com/pt/collections/mortal-reign-font-ferry-ardana-putra</t>
  </si>
  <si>
    <t>Black Metal, Dark, Death Metal, Brutal, Blackletter, T-shirt, Poster, Logo, Band, Vinyl, Rock Album, Music, Rock Music, Black Design, Hardcore, Halloween, Horror, Savage, Heavy Metal</t>
  </si>
  <si>
    <t>Lemon Talk</t>
  </si>
  <si>
    <t>R$ 123,57</t>
  </si>
  <si>
    <t>R$ 61,79</t>
  </si>
  <si>
    <t>imagens\Lemon_Talk.png</t>
  </si>
  <si>
    <t>https://www.myfonts.com/pt/collections/lemon-talk-font-stylishtype-studio</t>
  </si>
  <si>
    <t>Handbrush, Script, Bold, Textured, Energetic, Authentic, Modern, Dynamic, Branding, Packaging, Social Media, Advertising, Merchandise, Product Labels, Food and Beverage, Global Marketing, Handwritten, Organic, Natural, Lively</t>
  </si>
  <si>
    <t>Silent Blade</t>
  </si>
  <si>
    <t>R$ 145,06</t>
  </si>
  <si>
    <t>imagens\Silent_Blade.png</t>
  </si>
  <si>
    <t>https://www.myfonts.com/pt/collections/silent-blade-font-sipanji21</t>
  </si>
  <si>
    <t>Blackletter Font, Gothic Font, Medieval Font, Tattoo Font, Vintage Font, Display Font, Dark Font, Metal Font, Sharp Font, Decorative Font, Logo Font, Bold Font, Fantasy Font, Classic Font, Retro Font, Ancient Font, Lettering Font, Branding Font, Stylized Font, Creative Font</t>
  </si>
  <si>
    <t>Winter Sign</t>
  </si>
  <si>
    <t>Attype Studio</t>
  </si>
  <si>
    <t>Fadli Ramadhan Iskandar</t>
  </si>
  <si>
    <t>R$ 59,10</t>
  </si>
  <si>
    <t>R$ 42,98</t>
  </si>
  <si>
    <t>imagens\Winter_Sign.png</t>
  </si>
  <si>
    <t>https://www.myfonts.com/pt/collections/winter-sign-font-attype-studio</t>
  </si>
  <si>
    <t>Signpainting, Vintage, Retro, Winter, Lettering, Handpainted, Layered, Dimensional, Italic, Nostalgic, Seasonal, Storefront, Display, Script, Decorative, Sign Painting, Vintage Font, Retro Lettering, Winter Typography, Hand Lettered</t>
  </si>
  <si>
    <t>Geof</t>
  </si>
  <si>
    <t>R$ 30,89</t>
  </si>
  <si>
    <t>imagens\Geof.png</t>
  </si>
  <si>
    <t>https://www.myfonts.com/pt/collections/geof-font-typebae</t>
  </si>
  <si>
    <t>Futuristic, Sport, Tech, Techno, Technology, Modern, Future, Logo, Display, Bold, Sporty, Magazine, Esport, Logotype, Space, Poster, Movie</t>
  </si>
  <si>
    <t>Popcycles</t>
  </si>
  <si>
    <t>Migomojo Type House</t>
  </si>
  <si>
    <t>Komara Sani</t>
  </si>
  <si>
    <t>R$ 40,30</t>
  </si>
  <si>
    <t>imagens\Popcycles.png</t>
  </si>
  <si>
    <t>https://www.myfonts.com/pt/collections/popcycles-font-migomojo-type-house</t>
  </si>
  <si>
    <t>Chunky, Groovy, Retro, Display, Bubble, Nostalgic, Fluid, Playful, Organic, Y2K, 70s, 80s, 90s, Logo, Branding, Food, Apparel, Social Media, Packaging, Pop</t>
  </si>
  <si>
    <t>Gorry Doodlez</t>
  </si>
  <si>
    <t>Wacaksara co</t>
  </si>
  <si>
    <t>Hamam Jauhari</t>
  </si>
  <si>
    <t>R$ 33,58</t>
  </si>
  <si>
    <t>imagens\Gorry_Doodlez.png</t>
  </si>
  <si>
    <t>https://www.myfonts.com/pt/collections/gorry-doodlez-font-wacaksara-co</t>
  </si>
  <si>
    <t>Hand-drawn Font, Cute Font, Playful Font, Kids Font, Branding Font, Halloween Font, Spooky, Horror Font, Handwritten, Cartoon Font, Display Font, Cafe, Comic Font, Quirky, Rough Font, Fun Font, Poster, Menu, Doodle Font, Children</t>
  </si>
  <si>
    <t>Whoops Sans</t>
  </si>
  <si>
    <t>Youngtype</t>
  </si>
  <si>
    <t>Naufal Paramata</t>
  </si>
  <si>
    <t>R$ 44,77</t>
  </si>
  <si>
    <t>imagens\Whoops_Sans.png</t>
  </si>
  <si>
    <t>https://www.myfonts.com/pt/collections/whoops-sans-font-naufal-paramata</t>
  </si>
  <si>
    <t>Handwritten, Sans, Display, Vintage, Outline, Italic, Groovy, Bold, Comic, Books, Magazine, Branding, Organic, Cartoon, Stylish, Flowers, Poster, Fancy, Holiday, Fun</t>
  </si>
  <si>
    <t>MC Chiffo Drios</t>
  </si>
  <si>
    <t>imagens\MC_Chiffo_Drios.png</t>
  </si>
  <si>
    <t>https://www.myfonts.com/pt/collections/mc-chiffo-drios-font-maulana-creative</t>
  </si>
  <si>
    <t>Display Font, Bubble Font, Chunky Letters, Bold Typography, Comic Style, Fun Design, Friendly Typeface, Rounded Font, Heavy Font, Playful Lettering, Cute Font, Cartoon Font, Hand Drawn, Modern Retro, Eye Catching, Thick Lines, Unique Font, Custom Design, Fun Graphics, Children's Book</t>
  </si>
  <si>
    <t>Chaparrita</t>
  </si>
  <si>
    <t>Cocijotype</t>
  </si>
  <si>
    <t>Dafne Martínez</t>
  </si>
  <si>
    <t>imagens\Chaparrita.png</t>
  </si>
  <si>
    <t>https://www.myfonts.com/pt/collections/chaparrita-font-cocijotype</t>
  </si>
  <si>
    <t>Playful, Happy, Packaging, Felt-marker, Style, Fat, Eye-catching, Gummy, Yummy, Chocolate, Bold, Funky, Cream, Flirty, Swashes, Decorative, Decorated, Ligatures</t>
  </si>
  <si>
    <t>Strike Vortex</t>
  </si>
  <si>
    <t>imagens\Strike_Vortex.png</t>
  </si>
  <si>
    <t>https://www.myfonts.com/pt/collections/strike-vortex-font-timelesstype-studio</t>
  </si>
  <si>
    <t>Futuristic Racing Display, Futuristic, Aggressive, Cyberpunk, Bold, Angular, High-Impact, Kinetic, Racing, ESports, Gaming, Automotive, Branding, Film Titles, Advertising, Packaging, Visual Identity, Logo, Modern, Sport</t>
  </si>
  <si>
    <t>Deatom Lettering</t>
  </si>
  <si>
    <t>Oct 14, 2025</t>
  </si>
  <si>
    <t>imagens\Deatom_Lettering.png</t>
  </si>
  <si>
    <t>https://www.myfonts.com/pt/collections/deatom-lettering-font-gatype</t>
  </si>
  <si>
    <t>Branding, Unique, Travel, Combination, Commercial, Congratulations, Contemporary, Corporate, Design, Decorative, Stencil, Webfonts, Heading, Fashion, Magazine, Opentype, Modern Style, Shadow, Stationery, Business, Holiday, Classicist, Cuting, Typography, Summer, Legible, Alternates</t>
  </si>
  <si>
    <t>Jingle Empire</t>
  </si>
  <si>
    <t>OKSHUtypeCO</t>
  </si>
  <si>
    <t>Alexander Tiunov</t>
  </si>
  <si>
    <t>R$ 81,18</t>
  </si>
  <si>
    <t>imagens\Jingle_Empire.png</t>
  </si>
  <si>
    <t>https://www.myfonts.com/pt/collections/jingle-empire-font-okshutypeco</t>
  </si>
  <si>
    <t>Script, Handmade, Handwritten, November Sale, Sale Font, Fix, Cute, Scriptfont, Font, Fonts, Myfonts, Trend, Brand, Fashion, Creative, Fontbundle, Fancy, Okshutypeco, Deals, Love</t>
  </si>
  <si>
    <t>Davince</t>
  </si>
  <si>
    <t>R$ 102,83</t>
  </si>
  <si>
    <t>imagens\Davince.png</t>
  </si>
  <si>
    <t>https://www.myfonts.com/pt/collections/davince-font-okshutypeco</t>
  </si>
  <si>
    <t>Scriptfont, Handmade, Handwritten, Trend, Hot, Hotfont, Luxury, Luxuryfont, Luxfont, Brand, Goldenfont, Sale, Multilingual, Multilanguage, Europefont, Bestchoice, Bestfont, Nice, Creative, Goodfont</t>
  </si>
  <si>
    <t>Darifty</t>
  </si>
  <si>
    <t>Hasnat Studio</t>
  </si>
  <si>
    <t>Hasnat Khan</t>
  </si>
  <si>
    <t>R$ 108,24</t>
  </si>
  <si>
    <t>imagens\Darifty.png</t>
  </si>
  <si>
    <t>https://www.myfonts.com/pt/collections/darifty-font-hasnat-studio</t>
  </si>
  <si>
    <t>Professional Branding, Refined Lettering, Elegant Display, Modern Serif, Aesthetic Design, Luxury Branding, Classy Design, Fashion Logo, Premium Style, Branding Serif, Clean Lettering, Elegant Packaging, Polished Font, Fashion Editorial, Stylish Design, Premium Logo, Display Serif, Professional Serif, Timeless Beauty, Fashion Branding</t>
  </si>
  <si>
    <t>Mavones</t>
  </si>
  <si>
    <t>Fernande</t>
  </si>
  <si>
    <t>Angga Fernandi</t>
  </si>
  <si>
    <t>R$ 119,06</t>
  </si>
  <si>
    <t>R$ 29,77</t>
  </si>
  <si>
    <t>imagens\Mavones.png</t>
  </si>
  <si>
    <t>https://www.myfonts.com/pt/collections/mavones-font-fernande</t>
  </si>
  <si>
    <t>Sans, Serif, Elegant Font, Elegant Sans, Sans Serif, Display Font, Display, Poster, Cover, Brand, Logotype, Typeface, Branding, Identity, Italic, Thin Italic, Lettering, Calligraphy, Magazine Font, Book Cover</t>
  </si>
  <si>
    <t>Fox Velina</t>
  </si>
  <si>
    <t>Fox7</t>
  </si>
  <si>
    <t>Rattana Rattanawan</t>
  </si>
  <si>
    <t>R$ 64,94</t>
  </si>
  <si>
    <t>imagens\Fox_Velina.png</t>
  </si>
  <si>
    <t>https://www.myfonts.com/pt/collections/fox-velina-font-fox7</t>
  </si>
  <si>
    <t>Kids Font, Canva Font, Cute Font, Procreate Font, Playful Font, Cartoon Font, Rounded Font, Lovely Font, Baby Serif, Soft Font, Childrens Font, Friendly Font, Display Font, Whimsical, Handwritten, Comic Font, Fun Font, Modern Kids, Kawaii, Nursery</t>
  </si>
  <si>
    <t>Unique moments</t>
  </si>
  <si>
    <t>R$ 92,00</t>
  </si>
  <si>
    <t>imagens\Unique_moments.png</t>
  </si>
  <si>
    <t>https://www.myfonts.com/pt/collections/unique-moments-font-okshutypeco</t>
  </si>
  <si>
    <t>Fonts, Handmade, Handwritten, Fancy, Cute, Kids, Script, Sale, Uniquefont, Newfont, Trend, Style, Minimalism, Multilingual, Multilanguage, Creative, Design, Cream, Hot, Hotfont</t>
  </si>
  <si>
    <t>Wonderly</t>
  </si>
  <si>
    <t>imagens\Wonderly.png</t>
  </si>
  <si>
    <t>https://www.myfonts.com/pt/collections/wonderly-font-okshutypeco</t>
  </si>
  <si>
    <t>Handwritten, Script, Sale, Newfont, Fonts, Unique, Creative, Handmade, Brush, Fancy, Alternates, Multilingual, Scriptfont, Swashes, Cute, Girl</t>
  </si>
  <si>
    <t>Millostha</t>
  </si>
  <si>
    <t>Namara Creative Studio</t>
  </si>
  <si>
    <t>Toni Setiawan</t>
  </si>
  <si>
    <t>imagens\Millostha.png</t>
  </si>
  <si>
    <t>https://www.myfonts.com/pt/collections/millostha-font-collectype</t>
  </si>
  <si>
    <t>Handwritten, Script Font, Font, Script, Handwritten Font, Wedding Font, Logotype, Logo Font, Modern, Invitation, Modern Calligraphy, Cursive Font, Branding Font, Wedding Script</t>
  </si>
  <si>
    <t>Lazelle</t>
  </si>
  <si>
    <t>Annivers Type Studio</t>
  </si>
  <si>
    <t>Sigit Ananta</t>
  </si>
  <si>
    <t>R$ 54,12</t>
  </si>
  <si>
    <t>R$ 32,47</t>
  </si>
  <si>
    <t>imagens\Lazelle.png</t>
  </si>
  <si>
    <t>https://www.myfonts.com/pt/collections/lazelle-font-annivers-type-studio</t>
  </si>
  <si>
    <t>Luxury Serif, Modern Serif, Elegant Serif, Fashion Serif, Editorial Serif, Premium Serif, Stylish Serif, Logo Serif, Serif Display, Boutique Font, Magazine Font, Timeless Font, Feminine Serif, Wedding Font, Minimal Serif, Branding Font, Luxury Typeface, Classic Serif, Chic Serif</t>
  </si>
  <si>
    <t>Corbellion</t>
  </si>
  <si>
    <t>Eep Apringga</t>
  </si>
  <si>
    <t>imagens\Corbellion.png</t>
  </si>
  <si>
    <t>https://www.myfonts.com/pt/collections/corbellion-font-collectype</t>
  </si>
  <si>
    <t>Bold Script Font, Script Font, Script, Typography, Logotype, Lettering, Modern Script, Bold Script, Apparel, Wedding Font, Invitation, Wedding, Font, Handwritten Font, Ligature Font, Logo Font, Elegant, Signature</t>
  </si>
  <si>
    <t>Alerino</t>
  </si>
  <si>
    <t>Zaain Type</t>
  </si>
  <si>
    <t>Ju Naen</t>
  </si>
  <si>
    <t>R$ 86,59</t>
  </si>
  <si>
    <t>R$ 46,00</t>
  </si>
  <si>
    <t>imagens\Alerino.png</t>
  </si>
  <si>
    <t>https://www.myfonts.com/pt/collections/alerino-font-zaain-type</t>
  </si>
  <si>
    <t>Advertising, Book, Branding, Business, Casual, Decorative, Display, Elegant, Classi, Headline, Logo, Magazine, Modern, Social Media, Stylist, Title, Web Font, Packaging, Clothing, Stylish</t>
  </si>
  <si>
    <t>Set Family</t>
  </si>
  <si>
    <t>Iron Set Studio</t>
  </si>
  <si>
    <t>Anton Kustsinski</t>
  </si>
  <si>
    <t>R$ 135,30</t>
  </si>
  <si>
    <t>R$ 45,10</t>
  </si>
  <si>
    <t>imagens\Set_Family.png</t>
  </si>
  <si>
    <t>https://www.myfonts.com/pt/collections/set-family-font-iron-set-studio</t>
  </si>
  <si>
    <t>Abstract, Army, Art, Capital, Concept, Creative, Fashion, Graffiti, Inspiration, Military, Modern, Paint, Retro, Spray, Stencil, Trendy, Urban, Street Art, Street, Industrial</t>
  </si>
  <si>
    <t>Geardive</t>
  </si>
  <si>
    <t>Bentype</t>
  </si>
  <si>
    <t>Muhammad Farkhan</t>
  </si>
  <si>
    <t>imagens\Geardive.png</t>
  </si>
  <si>
    <t>https://www.myfonts.com/pt/collections/geardive-font-bentype</t>
  </si>
  <si>
    <t>Casual, Athletic, Jersey, Esport, Fitness, Gym, Football, Basketball, Soccer, Modern, Racing, Sports, Energy, Competition, Games, Run, Masculine</t>
  </si>
  <si>
    <t>Smith</t>
  </si>
  <si>
    <t>R$ 75,77</t>
  </si>
  <si>
    <t>imagens\Smith.png</t>
  </si>
  <si>
    <t>https://www.myfonts.com/pt/collections/smith-font-metasena-typefoundry</t>
  </si>
  <si>
    <t>Alphabet, Font, Brush, Typography, Design, Letter, Paint, Type, Handwritten, Calligraphy, Hand, Vector, Grunge, Ink, Text, Graffiti, Script, Graphic, Texture, Swash</t>
  </si>
  <si>
    <t>Hullgaria</t>
  </si>
  <si>
    <t>R$ 162,36</t>
  </si>
  <si>
    <t>imagens\Hullgaria.png</t>
  </si>
  <si>
    <t>https://www.myfonts.com/pt/collections/hullgaria-font-collectype</t>
  </si>
  <si>
    <t>Bold Modern Script, Bold Script Font, Script Font, Bold Script, Logo Font, Logotype, Typography, Lettering, T Shirt Font, Lettering Font, Branding Font, Retro Script, Vintage Font, Cursive Font, Modern</t>
  </si>
  <si>
    <t>Saigon City</t>
  </si>
  <si>
    <t>R$ 34,28</t>
  </si>
  <si>
    <t>imagens\Saigon_City.png</t>
  </si>
  <si>
    <t>https://www.myfonts.com/pt/collections/saigon-city-font-metasena-typefoundry</t>
  </si>
  <si>
    <t>Font, Display, Typeface, Typography, Type, Logo, Symbol, Vector, Design, Poster, Headline, Style, Letter, Modern, Futuristic, Brand, Business, Branding, Bold, Fashion</t>
  </si>
  <si>
    <t>Cherokee Bickerdike 01</t>
  </si>
  <si>
    <t>Deep Perspective Books</t>
  </si>
  <si>
    <t>Donald Bickerdike</t>
  </si>
  <si>
    <t>R$ 216,48</t>
  </si>
  <si>
    <t>imagens\Cherokee_Bickerdike_01.png</t>
  </si>
  <si>
    <t>https://www.myfonts.com/pt/collections/cherokee-bickerdike-01-font-deep-perspective-books</t>
  </si>
  <si>
    <t>Cherokee, Bickerdike, Phonetic, Transliteration</t>
  </si>
  <si>
    <t>Bunnathikarn Loopless</t>
  </si>
  <si>
    <t>Jipatype</t>
  </si>
  <si>
    <t>Anupap Jaichumnan</t>
  </si>
  <si>
    <t>R$ 184,01</t>
  </si>
  <si>
    <t>R$ 584,50</t>
  </si>
  <si>
    <t>imagens\Bunnathikarn_Loopless.png</t>
  </si>
  <si>
    <t>https://www.myfonts.com/pt/collections/bunnathikarn-loopless-font-jipatype</t>
  </si>
  <si>
    <t>Loopless Thai, Sans Serif, High Contrast, Modern, Elegant, Display, Thai, Minimalist, Contemporary, Branding, Headline, Luxury, Clean, Corporate, Geometric, Editorial, Digital Media</t>
  </si>
  <si>
    <t>Blooming Harvest</t>
  </si>
  <si>
    <t>R$ 124,48</t>
  </si>
  <si>
    <t>R$ 62,24</t>
  </si>
  <si>
    <t>imagens\Blooming_Harvest.png</t>
  </si>
  <si>
    <t>https://www.myfonts.com/pt/collections/blooming-harvest-font-stylishtype-studio</t>
  </si>
  <si>
    <t>Modern Handwritten Font, Handwritten Script, Brush Script, Fluid, Expressive, Authentic, Warm, Charming, Polished, Branding, Packaging Design, Social Media Graphics, Product Labels, Lifestyle Marketing, Gourmet Food, Visual Storytelling</t>
  </si>
  <si>
    <t>Alrightpetal</t>
  </si>
  <si>
    <t>imagens\Alrightpetal.png</t>
  </si>
  <si>
    <t>https://www.myfonts.com/pt/collections/alrightpetal-font-jointype</t>
  </si>
  <si>
    <t>Regular, Petal, Font, Letterin, Hand Drawn</t>
  </si>
  <si>
    <t>Lanikai</t>
  </si>
  <si>
    <t>R$ 156,95</t>
  </si>
  <si>
    <t>imagens\Lanikai.png</t>
  </si>
  <si>
    <t>https://www.myfonts.com/pt/collections/lanikai-font-catalystco-std</t>
  </si>
  <si>
    <t>Brush, Script, Textured, Handwritten, Natural, Casual, Creative, Signature, Vintage, Artistic, Modern, Typography, Branding, Aesthetic, Calligraphy, Handmade, Authentic, Lettering</t>
  </si>
  <si>
    <t>Zalhiga</t>
  </si>
  <si>
    <t>Sulthan Studio</t>
  </si>
  <si>
    <t>Nasrullah</t>
  </si>
  <si>
    <t>imagens\Zalhiga.png</t>
  </si>
  <si>
    <t>https://www.myfonts.com/pt/collections/zalhiga-font-sulthan-studio</t>
  </si>
  <si>
    <t>Modern Calligraphy, Script, Cursive, Swash, Handwritten, Brush Script, Elegant, Luxury, Romantic, Feminine, Fancy, Formal, Artistic, Wedding, Invitation, Branding, Logo, Signature, Display</t>
  </si>
  <si>
    <t>Elfina</t>
  </si>
  <si>
    <t>imagens\Elfina.png</t>
  </si>
  <si>
    <t>https://www.myfonts.com/pt/collections/elfina-font-catalystco-std</t>
  </si>
  <si>
    <t>Script, Brush, Handwritten, Elegant, Calligraphy, Modern, Signature, Feminine, Stylish, Organic, Creative, Branding, Typography, Artistic, Textured, Aesthetic</t>
  </si>
  <si>
    <t>Exeter Minuscule</t>
  </si>
  <si>
    <t>Eidosity</t>
  </si>
  <si>
    <t>Olivia Mcneilis</t>
  </si>
  <si>
    <t>R$ 81,13</t>
  </si>
  <si>
    <t>R$ 36,08</t>
  </si>
  <si>
    <t>imagens\Exeter_Minuscule.png</t>
  </si>
  <si>
    <t>https://www.myfonts.com/pt/collections/exeter-minuscule-font-eidosity</t>
  </si>
  <si>
    <t>Historical, Fantasy, Late Caroline, Late Carolingian, Early Gothic, Minuscule, Calligraph, Exeter Book, Religious, Poetry, Medieval, Codex Exoniensis, Anglo-saxon, Script, Monasteries, Scriptoria, Middle Ages, Codex, Exeter, Exeter Minuscule</t>
  </si>
  <si>
    <t>Vermolan</t>
  </si>
  <si>
    <t>imagens\Vermolan.png</t>
  </si>
  <si>
    <t>https://www.myfonts.com/pt/collections/vermolan-font-rasio-studio</t>
  </si>
  <si>
    <t>Sans Serif, Condensed, Modern, Bold, Display, Geometric, Minimalist, Clean, Typography, Tall, Contemporary, Stylish, Branding, Impactful, Strong, Advertising, Modern Font</t>
  </si>
  <si>
    <t>Aurine</t>
  </si>
  <si>
    <t>imagens\Aurine.png</t>
  </si>
  <si>
    <t>https://www.myfonts.com/pt/collections/aurine-font-rasio-studio</t>
  </si>
  <si>
    <t>Serif, Display, Modern, Elegant, Luxury, Classic, Vintage, Fashion, Branding, Logo, Stylish, Chic, Timeless, Beauty, Luxury Font, Lettering, Graceful, Modern Serif</t>
  </si>
  <si>
    <t>Iommyz</t>
  </si>
  <si>
    <t>Rafaeiro Typeiro</t>
  </si>
  <si>
    <t>Rafael Ferreira</t>
  </si>
  <si>
    <t>R$ 675,96</t>
  </si>
  <si>
    <t>R$ 42,25</t>
  </si>
  <si>
    <t>imagens\Iommyz.png</t>
  </si>
  <si>
    <t>https://www.myfonts.com/pt/collections/iommyz-font-rafaeiro-typeiro</t>
  </si>
  <si>
    <t>Dark, Metal, Heavy, Occult, Underground, Music, Headline, Logo, Podcast, Powerful, Mysterious, Dramatic, Edgy, Expressive, Dark Fantasy, Sans-serif, Legible, Opentype, Versatile, Clean</t>
  </si>
  <si>
    <t>Ultion</t>
  </si>
  <si>
    <t>Typogama</t>
  </si>
  <si>
    <t>Michael Parson</t>
  </si>
  <si>
    <t>R$ 1.077,00</t>
  </si>
  <si>
    <t>R$ 48,95</t>
  </si>
  <si>
    <t>imagens\Ultion.png</t>
  </si>
  <si>
    <t>https://www.myfonts.com/pt/collections/ultion-font-typogama</t>
  </si>
  <si>
    <t>Serif, Transitional, Contrast, Versatile, Original, Linear, Solid, Strength, Stable, Classical, Contemporary, Unique, Headline, Text, Legible, Branding, Editorial</t>
  </si>
  <si>
    <t>Reflow Mono</t>
  </si>
  <si>
    <t>Lettertype Studio</t>
  </si>
  <si>
    <t>Diki Pradipta Tri Atmojo</t>
  </si>
  <si>
    <t>R$ 541,20</t>
  </si>
  <si>
    <t>imagens\Reflow_Mono.png</t>
  </si>
  <si>
    <t>https://www.myfonts.com/pt/collections/reflow-mono-font-lettertype-studio</t>
  </si>
  <si>
    <t>Monospace, Editorial, Geometric, Modern, Clean, Branding, Display, Magazine, Corporate, Minimal, Typography, Grid, Fixedwidth, Professional, Elegant, Sans Serif, Design System, Layout, Fashion, Luxury</t>
  </si>
  <si>
    <t>Rubington</t>
  </si>
  <si>
    <t>R$ 113,65</t>
  </si>
  <si>
    <t>R$ 56,83</t>
  </si>
  <si>
    <t>imagens\Rubington.png</t>
  </si>
  <si>
    <t>https://www.myfonts.com/pt/collections/rubington-font-tini-fitriani</t>
  </si>
  <si>
    <t>Serif, Display, Elegant Serif, Modern Font, Wedding Serif, Luxury, Romantic Font, Classic, Classy, Minimalist, Alternate, Ligature Font, Headline, Fashion, Quote, Wedding, Magazine, Beautiful, Stylish Font, Invitation Font</t>
  </si>
  <si>
    <t>Melodie Lointaine</t>
  </si>
  <si>
    <t>Supfonts</t>
  </si>
  <si>
    <t>Dmitrii Chirkov</t>
  </si>
  <si>
    <t>R$ 37,88</t>
  </si>
  <si>
    <t>imagens\Melodie_Lointaine.png</t>
  </si>
  <si>
    <t>https://www.myfonts.com/pt/collections/melodie-lointaine-font-medialabco</t>
  </si>
  <si>
    <t>Vintage Font, Retro Font, Serif Font, Script Font, Font Trio, Display Font, Handwriting Font, Logo Font, Branding Font, Elegant Font, Modern Serif, Classic Serif</t>
  </si>
  <si>
    <t>Armet</t>
  </si>
  <si>
    <t>Multiformis</t>
  </si>
  <si>
    <t>Pedro Madeira</t>
  </si>
  <si>
    <t>R$ 97,36</t>
  </si>
  <si>
    <t>R$ 487,03</t>
  </si>
  <si>
    <t>R$ 60,88</t>
  </si>
  <si>
    <t>imagens\Armet.png</t>
  </si>
  <si>
    <t>https://www.myfonts.com/pt/collections/armet-font-multiformis</t>
  </si>
  <si>
    <t>Sharp, Stress, Serif, Display, Music, Cover, Banner, Publication, Ads, Advertising, Magazine, Web, Impress, Branding, Post, Poster, Media, Website, Instagram</t>
  </si>
  <si>
    <t>Bhilik</t>
  </si>
  <si>
    <t>Khoir</t>
  </si>
  <si>
    <t>Muhammad Romzul Khoir</t>
  </si>
  <si>
    <t>imagens\Bhilik.png</t>
  </si>
  <si>
    <t>https://www.myfonts.com/pt/collections/bhilik-font-khoir</t>
  </si>
  <si>
    <t>Sans Serif, Minimalist, Art Nouveau, Modern Font, Minimal Font, Thin Font, Unique Font, Hipster Font, Headline Font, Branding, Editorial Font, Casual, Sans, Future, Minimalistic, Modernist, Urban Font, Advertising, Corporate, Cover</t>
  </si>
  <si>
    <t>Aerodome</t>
  </si>
  <si>
    <t>R$ 265,19</t>
  </si>
  <si>
    <t>R$ 8,84</t>
  </si>
  <si>
    <t>imagens\Aerodome.png</t>
  </si>
  <si>
    <t>https://www.myfonts.com/pt/collections/aerodome-font-typebae</t>
  </si>
  <si>
    <t>Modern, Futuristic, Game, Ricing, Athletic, Clean, Bold, Outline, Oblique, Cyber, Wide, Expanded, Logo, Technology, Digital, Techno, Geometric, Minimal, Versatile, Headline</t>
  </si>
  <si>
    <t>Linetouch Two</t>
  </si>
  <si>
    <t>JC Creation Design</t>
  </si>
  <si>
    <t>JC Mehring</t>
  </si>
  <si>
    <t>imagens\Linetouch_Two.png</t>
  </si>
  <si>
    <t>https://www.myfonts.com/pt/collections/linetouch-two-font-jc-creation-design</t>
  </si>
  <si>
    <t>Line, Lines, Ligne, Lignes, Art Deco, Disco, Sans-serif, Sans Serif, Fantasy, Fantaisie, Fort, Strong, Style, Styled, Géométrique, Geometric</t>
  </si>
  <si>
    <t>EZ Biscuit</t>
  </si>
  <si>
    <t>Zafara Studios</t>
  </si>
  <si>
    <t>Zohan Nur Muchlis</t>
  </si>
  <si>
    <t>imagens\EZ_Biscuit.png</t>
  </si>
  <si>
    <t>https://www.myfonts.com/pt/collections/ez-biscuit-font-zafara-studios</t>
  </si>
  <si>
    <t>Cute, Fun, Playful, Handwritten, Casual, Friendly, Rounded, Soft, Kids, Doodle, Display, Cheerful, Sweet, Creative, Everyday, Warm, Happy, Handwriting, Whimsical, Simple</t>
  </si>
  <si>
    <t>Maryson Print</t>
  </si>
  <si>
    <t>Mans Greback</t>
  </si>
  <si>
    <t>Måns Grebäck</t>
  </si>
  <si>
    <t>R$ 429,59</t>
  </si>
  <si>
    <t>R$ 483,97</t>
  </si>
  <si>
    <t>R$ 53,77</t>
  </si>
  <si>
    <t>imagens\Maryson_Print.png</t>
  </si>
  <si>
    <t>https://www.myfonts.com/pt/collections/maryson-print-font-mans-greback</t>
  </si>
  <si>
    <t>Sans-serif, Sansserif, Stamp, Printed, Rough, Hard, Printer, Metal Type, Poster, Uppercase, Allcaps, Outlined, Rustic, Farmer, Market, Farmer's Market, Cool, Rural, Western</t>
  </si>
  <si>
    <t>Pro Rized</t>
  </si>
  <si>
    <t>R$ 135,95</t>
  </si>
  <si>
    <t>R$ 184,89</t>
  </si>
  <si>
    <t>R$ 46,22</t>
  </si>
  <si>
    <t>imagens\Pro_Rized.png</t>
  </si>
  <si>
    <t>https://www.myfonts.com/pt/collections/pro-rized-font-multype-studio</t>
  </si>
  <si>
    <t>Modern Sans Serif Font, Bold Display Font, Sport Typography, Futuristic Typeface, Racing Font, Geometric Sans Font, Strong Display Font, Performance Font, Esports Logo Font, Modern Athletic Typeface, Dynamic Headline Font, Speed Logo Typeface, Powerful Sans Font, Tech-inspired Typography, Bold Geometric Font, Modern Display Typeface, Racing Logo Font, Performance Branding Font, All Caps Sans Font, Impactful Modern Font</t>
  </si>
  <si>
    <t>Krombie</t>
  </si>
  <si>
    <t>Qiubare Studio</t>
  </si>
  <si>
    <t>Michael Everson</t>
  </si>
  <si>
    <t>R$ 103,32</t>
  </si>
  <si>
    <t>imagens\Krombie.png</t>
  </si>
  <si>
    <t>https://www.myfonts.com/pt/collections/krombie-font-qiubare-studio</t>
  </si>
  <si>
    <t>Bubble Font, Playful Display Font, Rounded Typeface, Cute Font, Kids Font, Cartoon Typography, Pop Art Font, Fun Headline Font, Chubby Font, Modern Bubble, Bold Display Font, Kawaii Font, Groovy Rounded Font, Retro Bubble Typeface, Soft Sans Serif, Friendly Typography, Creative Logo Font, Comic Style Font, Colorful Brand Font, Cheerful Display Font</t>
  </si>
  <si>
    <t>Dattacle</t>
  </si>
  <si>
    <t>R$ 96,79</t>
  </si>
  <si>
    <t>imagens\Dattacle.png</t>
  </si>
  <si>
    <t>https://www.myfonts.com/pt/collections/dattacle-font-mans-greback</t>
  </si>
  <si>
    <t>Tattoo, Halloween, Variable Font, Variable, Script, Handwriting, Calligraphy, Rock, Knives, Sharp, Thorns</t>
  </si>
  <si>
    <t>Paris Signature</t>
  </si>
  <si>
    <t>R$ 92,44</t>
  </si>
  <si>
    <t>R$ 114,19</t>
  </si>
  <si>
    <t>R$ 57,10</t>
  </si>
  <si>
    <t>imagens\Paris_Signature.png</t>
  </si>
  <si>
    <t>https://www.myfonts.com/pt/collections/paris-signature-font-typebae</t>
  </si>
  <si>
    <t>Luxury, Elegant, Classy, Expensive, High-end, Fashion, Bold, Strong, Serif, Script, Ligatures, Logo, Branding, Stylish, Packaging</t>
  </si>
  <si>
    <t>Handlettered Sans JNL</t>
  </si>
  <si>
    <t>Jeff Levine</t>
  </si>
  <si>
    <t>R$ 157,70</t>
  </si>
  <si>
    <t>R$ 299,62</t>
  </si>
  <si>
    <t>R$ 149,81</t>
  </si>
  <si>
    <t>imagens\Handlettered_Sans_JNL.png</t>
  </si>
  <si>
    <t>https://www.myfonts.com/pt/collections/handlettered-sans-jnl-font-jeff-levine</t>
  </si>
  <si>
    <t>Decorative, Display, Headline, 1940s, Sans Serif, Art Deco, Hand Lettered, Show Card, Retro, Vintage, Nostalgic</t>
  </si>
  <si>
    <t>Old Time Sans JNL</t>
  </si>
  <si>
    <t>imagens\Old_Time_Sans_JNL.png</t>
  </si>
  <si>
    <t>https://www.myfonts.com/pt/collections/old-time-sans-jnl-font-jeff-levine</t>
  </si>
  <si>
    <t>Decorative, Display, Headline, 1900s, Hand Lettered, Thin, Monoline, Sans Serif, Retro, Vintage, Nostalgic</t>
  </si>
  <si>
    <t>Dinner Date JNL</t>
  </si>
  <si>
    <t>imagens\Dinner_Date_JNL.png</t>
  </si>
  <si>
    <t>https://www.myfonts.com/pt/collections/dinner-date-jnl-font-jeff-levine</t>
  </si>
  <si>
    <t>Decorative, Display, Headline, 1930s, Art Deco, Hand Lettered, Sans Serif, Dual Line, Classy, Elegant, Retro, Vintage, Nostalgic</t>
  </si>
  <si>
    <t>Navigable Variable</t>
  </si>
  <si>
    <t>Varifont</t>
  </si>
  <si>
    <t>R$ 538,34</t>
  </si>
  <si>
    <t>R$ 2.169,69</t>
  </si>
  <si>
    <t>R$ 723,23</t>
  </si>
  <si>
    <t>imagens\Navigable_Variable.png</t>
  </si>
  <si>
    <t>https://www.myfonts.com/pt/collections/navigable-variable-font-varifont</t>
  </si>
  <si>
    <t>Sans Serif, Modern, Clean, Geometric, Display, Legible, Variable Font, Variable, Branding, Motion Design, Tech, Bold, Italic, Superfamily, Futuristic, Approachable, Confident, Versatile, Foundational, Professional, Packaging, Editorial, Advertising, Interactive, Digital, AI, Gaming, AR, VR</t>
  </si>
  <si>
    <t>Phone Call JNL</t>
  </si>
  <si>
    <t>imagens\Phone_Call_JNL.png</t>
  </si>
  <si>
    <t>https://www.myfonts.com/pt/collections/phone-call-jnl-font-jeff-levine</t>
  </si>
  <si>
    <t>Decorative, Display, Headline, Sans Serif, 1940s, Art Deco, Hand Lettered, Retro, Vintage, Nostalgic, Condensed</t>
  </si>
  <si>
    <t>Price Card Nouveau JNL</t>
  </si>
  <si>
    <t>imagens\Price_Card_Nouveau_JNL.png</t>
  </si>
  <si>
    <t>https://www.myfonts.com/pt/collections/price-card-nouveau-jnl-font-jeff-levine</t>
  </si>
  <si>
    <t>Decorative, Display, Headline, 1900s, Art Nouveau, Hand Lettered, Thick and Thin, Bold, Sans Serif, Retro, Vintage, Nostalgic</t>
  </si>
  <si>
    <t>Legal Decree JNL</t>
  </si>
  <si>
    <t>imagens\Legal_Decree_JNL.png</t>
  </si>
  <si>
    <t>https://www.myfonts.com/pt/collections/legal-decree-jnl-font-jeff-levine</t>
  </si>
  <si>
    <t>Decorative, Display, Headline, 1930s, Old English, Germanic, Hand Lettered, Retro, Vintage, Nostalgic</t>
  </si>
  <si>
    <t>Deco Serif JNL</t>
  </si>
  <si>
    <t>imagens\Deco_Serif_JNL.png</t>
  </si>
  <si>
    <t>https://www.myfonts.com/pt/collections/deco-serif-jnl-font-jeff-levine</t>
  </si>
  <si>
    <t>Decorative, Display, Headline, Serif, Hand Lettered, Retro, Vintage, Nostalgic, Art Deco, Thick and Thin, Rounded Serif, 1940s</t>
  </si>
  <si>
    <t>Show Card Shop JNL</t>
  </si>
  <si>
    <t>imagens\Show_Card_Shop_JNL.png</t>
  </si>
  <si>
    <t>https://www.myfonts.com/pt/collections/show-card-shop-jnl-font-jeff-levine</t>
  </si>
  <si>
    <t>Decorative, Display, Headline, 1940s, Hand Lettered, Serif, Bold, Retro, Vintage, Nostalgic</t>
  </si>
  <si>
    <t>Cattle Auction JNL</t>
  </si>
  <si>
    <t>imagens\Cattle_Auction_JNL.png</t>
  </si>
  <si>
    <t>https://www.myfonts.com/pt/collections/cattle-auction-jnl-font-jeff-levine</t>
  </si>
  <si>
    <t>Decorative, Display, Headline, Retro, Vintage, Nostalgic, 1900s, Wide, Extra Wide, Serif, Slab Serif, Chamfered, Hand Lettered</t>
  </si>
  <si>
    <t>Navigable</t>
  </si>
  <si>
    <t>R$ 108,70</t>
  </si>
  <si>
    <t>R$ 24,11</t>
  </si>
  <si>
    <t>imagens\Navigable.png</t>
  </si>
  <si>
    <t>https://www.myfonts.com/pt/collections/navigable-font-varifont</t>
  </si>
  <si>
    <t>Sans, Sans Serif, Geometric, Modern, Clean, Bold, Italic, Superfamily, Super Family, Futuristic, Approachable, Confident, Versatile, Display, Foundational, Professional, Branding, Packaging, Editorial, Advertising, Motion Design, Interaction, Interactive, Digital, Tech, AI, Gaming</t>
  </si>
  <si>
    <t>Folk Band JNL</t>
  </si>
  <si>
    <t>imagens\Folk_Band_JNL.png</t>
  </si>
  <si>
    <t>https://www.myfonts.com/pt/collections/folk-band-jnl-font-jeff-levine</t>
  </si>
  <si>
    <t>Decorative, Display, Headline, 1930s, Art Deco, Art Nouvueau, Novelty, Hand Lettered, Sans Serif, Bold, Retro, Vintage, Nostalgic</t>
  </si>
  <si>
    <t>Escola AH Hakushu PRS</t>
  </si>
  <si>
    <t>Nihon Shogi Kenkyusho Co., Ltd</t>
  </si>
  <si>
    <t>Nov 19, 2025</t>
  </si>
  <si>
    <t>https://www.myfonts.com/pt/collections/ah-hakushu-school-prs-font-nihon-shogi-kenkyusyo-co-ltd</t>
  </si>
  <si>
    <t>AH Hakushu Tipo de letra manuscrita</t>
  </si>
  <si>
    <t>https://www.myfonts.com/pt/collections/ah-hakushu-handwritten-font-font-nihon-shogi-kenkyusyo-co-ltd</t>
  </si>
  <si>
    <t>Gebwall</t>
  </si>
  <si>
    <t>imagens\Gebwall.png</t>
  </si>
  <si>
    <t>https://www.myfonts.com/pt/collections/gebwall-font-hasnat-studio</t>
  </si>
  <si>
    <t>Label Font, Invitation Font, Wedding Font, Beauty Branding, Boutique Branding, Classy Serif, Luxury Display, Elegant Display, Serif Headline, Creative Serif, Artistic Serif, Decorative Serif, Premium Display, Modern Display, Branding Typeface, Modern Typeface, Social Media, Digital Branding, Editorial Typography, Refined Serif</t>
  </si>
  <si>
    <t>Debthen</t>
  </si>
  <si>
    <t>imagens\Debthen.png</t>
  </si>
  <si>
    <t>https://www.myfonts.com/pt/collections/debthen-font-hasnat-studio</t>
  </si>
  <si>
    <t>Display Font, Title Font, Poster Font, Visual Font, Elegant Display, Modern Serif, Premium Serif, Refined Typeface, Magazine Serif, Label Serif, Premium Typeface, Luxury Font, Branding Font, Elegant Logo, Wedding Serif, Polished Serif, Contemporary Serif, Headline Serif, Logo Serif, Editorial Serif</t>
  </si>
  <si>
    <t>Kospix</t>
  </si>
  <si>
    <t>imagens\Kospix.png</t>
  </si>
  <si>
    <t>https://www.myfonts.com/pt/collections/kospix-font-limitype</t>
  </si>
  <si>
    <t>Pixel, Display, 8bit, Futuristic, Sci-fi, Gaming, Technology, Sport, Cyber, Digital, Modern, Computer, Retro, Headline, Bitmap, Vintage, Science, Classic, Fiction, Poster</t>
  </si>
  <si>
    <t>Creme Bagels</t>
  </si>
  <si>
    <t>Clevus</t>
  </si>
  <si>
    <t>Alfinu Zafir</t>
  </si>
  <si>
    <t>imagens\Creme_Bagels.png</t>
  </si>
  <si>
    <t>https://www.myfonts.com/pt/collections/creme-bagels-font-clevus</t>
  </si>
  <si>
    <t>Sans Serif, Handwritten, Fancy, Classy, Branding, Headline, Wedding, Fashion, Feminine, Calligraphy, Serif, Premium, Trendy, Canva, Minimal, Luxury, Font Duo, Classic, Chic, Editorial</t>
  </si>
  <si>
    <t>Single Whimney</t>
  </si>
  <si>
    <t>imagens\Single_Whimney.png</t>
  </si>
  <si>
    <t>https://www.myfonts.com/pt/collections/single-whimney-font-tini-fitriani</t>
  </si>
  <si>
    <t>Script Font, Retro, Groovy, Vintage, Handwritten Font, Nostalgic, Romantic, Lettering Font, Retro Script, Cursive Font, Summer, Fancy, Extrude Font, Hippie Font, Bold Vintage, Modern Retro, Old Font, 80s, 90s, Old Style</t>
  </si>
  <si>
    <t>Qindret</t>
  </si>
  <si>
    <t>imagens\Qindret.png</t>
  </si>
  <si>
    <t>https://www.myfonts.com/pt/collections/qindret-font-denustudio</t>
  </si>
  <si>
    <t>Blackletter, Victorian, Vintage, Tattoo, Gothic, Medieval, Music, Black Metal, Death Metal, 80s, 90s, Old English, Ornate, Ornamental, Underground, Merchandise, Metal, Calligraphy, Mix, Swash</t>
  </si>
  <si>
    <t>Strafon</t>
  </si>
  <si>
    <t>Eric Kurniawan</t>
  </si>
  <si>
    <t>imagens\Strafon.png</t>
  </si>
  <si>
    <t>https://www.myfonts.com/pt/collections/strafon-font-artisan-themes</t>
  </si>
  <si>
    <t>Sans Serif, Modern Font, Modern Sans Serif, Corporate Font, Logo Font, Corporate Logo Font, Futuristic Font, Geometric Font, Clean Font, Branding Font, Tech Font, UI Font, Headline Font, Minimalist Font, Poster Font, Display Font, Family Font, Light Font, Bold Font</t>
  </si>
  <si>
    <t>Lagovon</t>
  </si>
  <si>
    <t>Lurinzu Studios</t>
  </si>
  <si>
    <t>Lorenzo Gabriel Martinez</t>
  </si>
  <si>
    <t>imagens\Lagovon.png</t>
  </si>
  <si>
    <t>https://www.myfonts.com/pt/collections/lagovon-font-lurinzu-studios</t>
  </si>
  <si>
    <t>Vintage Display, Editorial, Display Font, Noir, Magazine Font, Poster, Headline, Album, Anime, Luxury Branding, Bold Serif, Retro Typography, Elegant Serif, Condensed Serif, Stylish Typeface</t>
  </si>
  <si>
    <t>Synixon</t>
  </si>
  <si>
    <t>Luminatype Studio</t>
  </si>
  <si>
    <t>imagens\Synixon.png</t>
  </si>
  <si>
    <t>https://www.myfonts.com/pt/collections/synixon-font-luminatype-studio</t>
  </si>
  <si>
    <t>Font, Technology, Square Sans, Digital Interface Font, Industrial, Futuristic, Branding, Family, Italic, Modern, Cyrillics, Contextual, Heading, Tech Sans, Sport, Magazine, Product, Packaging, Logotype, Headline</t>
  </si>
  <si>
    <t>The Last Visitor</t>
  </si>
  <si>
    <t>Afkari Studio</t>
  </si>
  <si>
    <t>Musthafa Kamal Emje</t>
  </si>
  <si>
    <t>imagens\The_Last_Visitor.png</t>
  </si>
  <si>
    <t>https://www.myfonts.com/pt/collections/the-last-visitor-font-afkari-studio</t>
  </si>
  <si>
    <t>Winter, Halloween, Horror, Gothic, Dramatic, Cinematic, Vintage, Spooky, Bold, Editorial, Fantasy, Mysterious, Headline, Classic Display, Magic</t>
  </si>
  <si>
    <t>Pincel AH Hakushu Extra-grosso</t>
  </si>
  <si>
    <t>https://www.myfonts.com/pt/collections/ah-hakushu-brush-extra-thick-font-nihon-shogi-kenkyusyo-co-ltd</t>
  </si>
  <si>
    <t>Blottocke</t>
  </si>
  <si>
    <t>Basnistudio</t>
  </si>
  <si>
    <t>Bery Arisandi</t>
  </si>
  <si>
    <t>imagens\Blottocke.png</t>
  </si>
  <si>
    <t>https://www.myfonts.com/pt/collections/blottocke-font-basnistudio</t>
  </si>
  <si>
    <t>Handwritten, Bold, Brush, Signature, Wedding, Script, Display</t>
  </si>
  <si>
    <t>Pasbile</t>
  </si>
  <si>
    <t>Maikohatta</t>
  </si>
  <si>
    <t>Gilang Ternadho</t>
  </si>
  <si>
    <t>imagens\Pasbile.png</t>
  </si>
  <si>
    <t>https://www.myfonts.com/pt/collections/pasbile-font-maikohatta</t>
  </si>
  <si>
    <t>Font, Sans Serif, Modern, Geometric, Clean, Bold, Display, Futuristic, Elegant, Typography, Branding</t>
  </si>
  <si>
    <t>Soreva</t>
  </si>
  <si>
    <t>imagens\Soreva.png</t>
  </si>
  <si>
    <t>https://www.myfonts.com/pt/collections/soreva-font-maikohatta</t>
  </si>
  <si>
    <t>Font, Sans Serif, Modern, Geometric, Clean, Display, Bold, Logo, Branding, Tech, Futuristic, Typography</t>
  </si>
  <si>
    <t>Criemas</t>
  </si>
  <si>
    <t>imagens\Criemas.png</t>
  </si>
  <si>
    <t>https://www.myfonts.com/pt/collections/criemas-font-maikohatta</t>
  </si>
  <si>
    <t>Font, Decorative, Handwritten, Happy, Christmas, Christmas Card, Winter, Santa, Xmas, Display, Holiday, Joyful, Christmas Packaging</t>
  </si>
  <si>
    <t>AH Hakushu Fude Thick Scr</t>
  </si>
  <si>
    <t>https://www.myfonts.com/pt/collections/ah-hakushu-fude-thick-scr-font-nihon-shogi-kenkyusyo-co-ltd</t>
  </si>
  <si>
    <t>Blocky Vintage</t>
  </si>
  <si>
    <t>NH TypeStudio</t>
  </si>
  <si>
    <t>Hadi Nasrul</t>
  </si>
  <si>
    <t>imagens\Blocky_Vintage.png</t>
  </si>
  <si>
    <t>https://www.myfonts.com/pt/collections/blocky-vintage-font-nh-typestudio</t>
  </si>
  <si>
    <t>Modern, Vintage, Wedding, Posters, Logo, Script, Calligraphy Font, Publishing</t>
  </si>
  <si>
    <t>Rainblown Fields</t>
  </si>
  <si>
    <t>Bogstav</t>
  </si>
  <si>
    <t>Jakob Fischer</t>
  </si>
  <si>
    <t>Nov 12, 2025</t>
  </si>
  <si>
    <t>imagens\Rainblown_Fields.png</t>
  </si>
  <si>
    <t>https://www.myfonts.com/pt/collections/rainblown-fields-font-bogstav</t>
  </si>
  <si>
    <t>Comic, Suede, Grafitti, Handmade, Contextual Alternates, Organic, Lively, Funky, Party, Cute, Lovely, Packaging, All Caps</t>
  </si>
  <si>
    <t>Atnia</t>
  </si>
  <si>
    <t>Pandeka Studio</t>
  </si>
  <si>
    <t>Sagara Nararya</t>
  </si>
  <si>
    <t>imagens\Atnia.png</t>
  </si>
  <si>
    <t>https://www.myfonts.com/pt/collections/atnia-font-pandeka-studio</t>
  </si>
  <si>
    <t>Modern Sans Serif, Geometric Font, Sans Serif Font, Minimal Font, Clean Font, Modern Typography, Branding Font, Logo Font, Editorial Font, Sleek Font, Geometric Sans, Elegant Sans Serif, Professional Font, Tech Font, Corporate Font, Display Sans Serif, Modern Design Font, Modern Branding Font, Headline Font, Minimalist Typography</t>
  </si>
  <si>
    <t>Moistly Vengions</t>
  </si>
  <si>
    <t>imagens\Moistly_Vengions.png</t>
  </si>
  <si>
    <t>https://www.myfonts.com/pt/collections/moistly-vengions-font-ragamkata</t>
  </si>
  <si>
    <t>Elegant, Modern, Ligature, Serif, Font, Typeface, Stylish, Luxury, Timeless, Sophiscated, Branding, Aesthetic, Fashion, Chic, Premium, Creative, Editorial, Classyu, Feminine, Magazine</t>
  </si>
  <si>
    <t>Farway Journal</t>
  </si>
  <si>
    <t>Nov 11, 2025</t>
  </si>
  <si>
    <t>imagens\Farway_Journal.png</t>
  </si>
  <si>
    <t>https://www.myfonts.com/pt/collections/farway-journal-font-tini-fitriani</t>
  </si>
  <si>
    <t>Serif, Display, Elegant Serif, Modern Font, Wedding Serif, Luxury, Romantic Font, Classic, Classy, Minimalist, Alternate, Ligature Font, Logotype, Headline, Fashion, Elegant, Magazine, Beautiful, Stylish Font</t>
  </si>
  <si>
    <t>SF Nishan</t>
  </si>
  <si>
    <t>Sultan Fonts</t>
  </si>
  <si>
    <t>Sultan Maqtari</t>
  </si>
  <si>
    <t>Nov 14, 2025</t>
  </si>
  <si>
    <t>imagens\SF_Nishan.png</t>
  </si>
  <si>
    <t>https://www.myfonts.com/pt/collections/sf-nishan-font-sultan-fonts</t>
  </si>
  <si>
    <t>Arabic, Bilingual, Sultan Fonts, Modern Arabic Font, Sultan Maqtari</t>
  </si>
  <si>
    <t>Rotorika</t>
  </si>
  <si>
    <t>Nk Studio</t>
  </si>
  <si>
    <t>Nurul Kamal</t>
  </si>
  <si>
    <t>imagens\Rotorika.png</t>
  </si>
  <si>
    <t>https://www.myfonts.com/pt/collections/rotorika-font-nk-studio</t>
  </si>
  <si>
    <t>Latin, Mercedes, Casual, Sans Serif, Vintage, Geometric, Geometric Sans, Gaming, Display Font, Logotype, Display Sans, Text, Vintage Logo, New, Best, Rotorika, Nk Studio, Workhorse Sans, New Font, Modern Sans</t>
  </si>
  <si>
    <t>Pilatus Variable</t>
  </si>
  <si>
    <t>Milan Rohrer Studio</t>
  </si>
  <si>
    <t>Milan Rohrer</t>
  </si>
  <si>
    <t>Nov 13, 2025</t>
  </si>
  <si>
    <t>imagens\Pilatus_Variable.png</t>
  </si>
  <si>
    <t>https://www.myfonts.com/pt/collections/pilatus-variable-font-milan-rohrer-studio</t>
  </si>
  <si>
    <t>Norm, Technical, Iso, Standard, Din, Sans, Variable, Geometrical, Normschrift, Standardfont, Pilatus, Precise</t>
  </si>
  <si>
    <t>Mogn Konros</t>
  </si>
  <si>
    <t>Imoodev</t>
  </si>
  <si>
    <t>Aulia Savira Putri</t>
  </si>
  <si>
    <t>imagens\Mogn_Konros.png</t>
  </si>
  <si>
    <t>https://www.myfonts.com/pt/collections/mogn-konros-font-imoodev</t>
  </si>
  <si>
    <t>Elegant Serif, Modern Serif, Luxury, Classic, Beauty, Chic, Wedding, Invitation, Didone, Premium, Lifestyle, Boutique, Vogue, Premium Serif, Exclusive, Glamour, Hotel Branding, Deluxe, Jewelry</t>
  </si>
  <si>
    <t>Cause Duo</t>
  </si>
  <si>
    <t>imagens\Cause_Duo.png</t>
  </si>
  <si>
    <t>https://www.myfonts.com/pt/collections/cause-duo-font-jafar07</t>
  </si>
  <si>
    <t>Retro Sans, Display Font, Geometric, Bold, Modern, Branding, Vintage, Typography, Logo, Editorial</t>
  </si>
  <si>
    <t>Harfine</t>
  </si>
  <si>
    <t>imagens\Harfine.png</t>
  </si>
  <si>
    <t>https://www.myfonts.com/pt/collections/harfine-font-letterena-studios</t>
  </si>
  <si>
    <t>Serif, Display, Modern, Elegant, Stylish, Classic, Creative, Branding, Logo, Typography, Fashion, Magazine, Editorial, Playful, Packaging, Retro, Artistic, Vibrant, Design, Font</t>
  </si>
  <si>
    <t>Bluebell Cottage</t>
  </si>
  <si>
    <t>imagens\Bluebell_Cottage.png</t>
  </si>
  <si>
    <t>https://www.myfonts.com/pt/collections/bluebell-cottage-font-stylishtype-studio</t>
  </si>
  <si>
    <t>Handwriting, Script, Modern, Flowing, Smooth, Natural, Cursive, Lifestyle, Greeting, Decorative, Wedding, Quote, Calligraphic, Handmade, Organic, Relaxed, Creative, Brush, Warm, Font</t>
  </si>
  <si>
    <t>Solistice Nova</t>
  </si>
  <si>
    <t>Adam Fathony</t>
  </si>
  <si>
    <t>Adam Fathoni Haris</t>
  </si>
  <si>
    <t>imagens\Solistice_Nova.png</t>
  </si>
  <si>
    <t>https://www.myfonts.com/pt/collections/solistice-nova-font-adam-fathony</t>
  </si>
  <si>
    <t>Font Duo, Font Combo, Font Combinations, Whimsical, Modern, Gothic, Art Deco, Oblique, Display Typeface, Modern Typeface, Decorative, Headline, Stylist, Artistic, Unique, Poster, Versatile, Beauty, Minimalist, Minimalistic</t>
  </si>
  <si>
    <t>Stindle</t>
  </si>
  <si>
    <t>imagens\Stindle.png</t>
  </si>
  <si>
    <t>https://www.myfonts.com/pt/collections/stindle-font-letterhend</t>
  </si>
  <si>
    <t>Modern Serif, Elegant Script, Elegant Font, Sophisticated, Luxury Design, Branding Font Pair, Editorial Typeface, Modern Classic Serif, Elegant Logo, Wedding Invitation</t>
  </si>
  <si>
    <t>Ongunkan Ogham Family</t>
  </si>
  <si>
    <t>imagens\Ongunkan_Ogham_Family.png</t>
  </si>
  <si>
    <t>https://www.myfonts.com/pt/collections/ongunkan-ogham-family-font-runic-world-tamgaci</t>
  </si>
  <si>
    <t>Ogham, England, Scotland, Ireland, Antique, Historical, Academic Study, Academic, Scientific, Studies, Research, Book, Fantastic, Movies</t>
  </si>
  <si>
    <t>Bafirolic</t>
  </si>
  <si>
    <t>TypeClassHeroes</t>
  </si>
  <si>
    <t>Suandana ipandemade</t>
  </si>
  <si>
    <t>imagens\Bafirolic.png</t>
  </si>
  <si>
    <t>https://www.myfonts.com/pt/collections/bafirolic-font-typeclassheroes</t>
  </si>
  <si>
    <t>Calligraphy, Script, Typography, Headline Font, Branding Font, Logotype, Classic Script, Elegant Script, Luxury Script, Classy Script, Beautiful Script, Handwritten Script, Invitation Script, Chritmas Script, Feminine Script, Wedding Script, Valentine Script, Nostalgia Font, Stylish Script, Romance Script</t>
  </si>
  <si>
    <t>Carmeline</t>
  </si>
  <si>
    <t>imagens\Carmeline.png</t>
  </si>
  <si>
    <t>https://www.myfonts.com/pt/collections/carmeline-font-rasio-studio</t>
  </si>
  <si>
    <t>Carmeline, Script, Elegant, Cursive, Handwritten, Calligraphy, Vintage, Classic, Signature, Refined, Delicate, Luxury, Timeless, Typography, Classy, Lettering</t>
  </si>
  <si>
    <t>Raufendry</t>
  </si>
  <si>
    <t>imagens\Raufendry.png</t>
  </si>
  <si>
    <t>https://www.myfonts.com/pt/collections/raufendry-font-denustudio</t>
  </si>
  <si>
    <t>Script, Calligraphy, Wedding, Modern Calligraphy, Beauty Font, Calligraphy Script Font, Beautiful Font, Luxury, Whimsical, Cursive, Hand Lettered Font, Swashes, Modern Fonts, Collection Font, Stylish Font, Lovely Font, Invitation, Branding</t>
  </si>
  <si>
    <t>Padinks</t>
  </si>
  <si>
    <t>Java Pep</t>
  </si>
  <si>
    <t>imagens\Padinks.png</t>
  </si>
  <si>
    <t>https://www.myfonts.com/pt/collections/padinks-font-java-pep</t>
  </si>
  <si>
    <t>Monoline Script, Monoline Font, Handwritten Font, Logo Font, Branding Font, Music Font, Wedding Font, Quotes Font, Quotes, Apparel, Advertising Poster, Restaurant Menu, Food and Beverage, Product Packaging, Invitation, Billboard Design, Sticky Notes, Outdoors</t>
  </si>
  <si>
    <t>Snaky Snake</t>
  </si>
  <si>
    <t>imagens\Snaky_Snake.png</t>
  </si>
  <si>
    <t>https://www.myfonts.com/pt/collections/snaky-snake-font-imoodev</t>
  </si>
  <si>
    <t>Alphabet, Funny, Reptile, Jungle Theme, Zoo, Kids Party, Invitation, Greeting Card, Cute, Playful, Kids, Children, Playground, Kindergarten, Back To School, Education School, Animals, Cartoon, Handwritten, Storybook</t>
  </si>
  <si>
    <t>Brations Signature</t>
  </si>
  <si>
    <t>imagens\Brations_Signature.png</t>
  </si>
  <si>
    <t>https://www.myfonts.com/pt/collections/brations-signature-font-din-studio</t>
  </si>
  <si>
    <t>Luxuryfonts, Elegantfonts, Modernfont, Luxuryfont, Elegantserif, Serif, Font, Modern, Branding, Advertisement, Luxury, Bookcover, Invitation, Classic, Stylish</t>
  </si>
  <si>
    <t>Questline</t>
  </si>
  <si>
    <t>Sudtipos</t>
  </si>
  <si>
    <t>Alejandro Freitez</t>
  </si>
  <si>
    <t>imagens\Questline.png</t>
  </si>
  <si>
    <t>https://www.myfonts.com/pt/collections/questline-font-sudtipos</t>
  </si>
  <si>
    <t>Variable Font, Editorial, Tarot, Historical, Decorative, Book Design, Expressive, Contemporary, Stationery, Branding, Gothic, Stylish</t>
  </si>
  <si>
    <t>Elighina Solide</t>
  </si>
  <si>
    <t>TM Type</t>
  </si>
  <si>
    <t>Teuku Bustami</t>
  </si>
  <si>
    <t>imagens\Elighina_Solide.png</t>
  </si>
  <si>
    <t>https://www.myfonts.com/pt/collections/elighina-solide-font-tm-type</t>
  </si>
  <si>
    <t>Font, Elegant, Display, Serif, Typeface, Italic, Cursive, Multilingual, Webfont, Modern, Opentype, Ligatures, High Contrast, Stylish, Sharp, Classy, Branding, Packaging, Fashion, Business Card</t>
  </si>
  <si>
    <t>Banera</t>
  </si>
  <si>
    <t>imagens\Banera.png</t>
  </si>
  <si>
    <t>https://www.myfonts.com/pt/collections/banera-font-sensatype-studio</t>
  </si>
  <si>
    <t>Luxury Fonts, Luxury, Luxury Font Logo, Ligature Fonts, Agilera, Banera, Ligature, Cinematic, Font, Elegant, Serif, Editorial, Fashion, Wedding, Display, Logo, Typeface, Classic, Premium</t>
  </si>
  <si>
    <t>Meeting</t>
  </si>
  <si>
    <t>Los Andes</t>
  </si>
  <si>
    <t>Paula Nazal Selaive</t>
  </si>
  <si>
    <t>imagens\Meeting.png</t>
  </si>
  <si>
    <t>https://www.myfonts.com/pt/collections/meeting-font-los-andes</t>
  </si>
  <si>
    <t>Sans Serif, Uppercase, Copperplate, Contemporary, Elegant, Sober, Generous Spacing, Readability, Solid Forms, Clean Strokes, Robust, Subtle, Firm, Balanced Design, Signage, Branding, Labels, Projects With Character, Coffee Shop, Cocktail Bar</t>
  </si>
  <si>
    <t>Roxite</t>
  </si>
  <si>
    <t>imagens\Roxite.png</t>
  </si>
  <si>
    <t>https://www.myfonts.com/pt/collections/roxite-font-din-studio</t>
  </si>
  <si>
    <t>Luxury Fonts, Elegant Fonts, Modern Font, Luxury Font, Elegant Serif, Serif, Font, Modern, Branding, Advertisement, Luxury, Book Cover, Invitation</t>
  </si>
  <si>
    <t>Raven Gothic</t>
  </si>
  <si>
    <t>Justified Ink Scriptorium</t>
  </si>
  <si>
    <t>imagens\Raven_Gothic.png</t>
  </si>
  <si>
    <t>https://www.myfonts.com/pt/collections/raven-gothic-font-justified-ink-scriptorium</t>
  </si>
  <si>
    <t>Gothic, Blackletter, Decorative, English, Textura, Invitation, Party, Headline, American, German, Black Letter, Old English, Gothic Script, Heading, Historical, Script, Medieval, Goth</t>
  </si>
  <si>
    <t>Enerecia</t>
  </si>
  <si>
    <t>imagens\Enerecia.png</t>
  </si>
  <si>
    <t>https://www.myfonts.com/pt/collections/enerecia-font-rasio-studio</t>
  </si>
  <si>
    <t>Enerencia, Serif, Elegant Serif, Poetic, Modern Serif, Editorial, Luxury, Fashion, Typography, Timeless, Classic, Stylish, Artistic, Branding, Creative, Display Serif, Modern Elegance</t>
  </si>
  <si>
    <t>Rawlence Avenue</t>
  </si>
  <si>
    <t>imagens\Rawlence_Avenue.png</t>
  </si>
  <si>
    <t>https://www.myfonts.com/pt/collections/rawlence-avenue-font-rasio-studio</t>
  </si>
  <si>
    <t>Rawlence Avenue, Serif, Editorial, Modern Serif, Elegant, Luxury, Fashion, Headline, Display, Classic, Timeless, Refined, Professional, Stylish, Aesthetic</t>
  </si>
  <si>
    <t>Astrovia Serif</t>
  </si>
  <si>
    <t>Typehill Studio</t>
  </si>
  <si>
    <t>Teuku Fahruddin</t>
  </si>
  <si>
    <t>imagens\Astrovia_Serif.png</t>
  </si>
  <si>
    <t>https://www.myfonts.com/pt/collections/astrovia-serif-font-typehill-studio</t>
  </si>
  <si>
    <t>Serif, Modern Serif, Variable Font, Elegant, Timeless, Editorial, Display Serif, Classic Serif, Contemporary, Roman, Italic, Typography, Text Font, Headline, Branding Font, Magazine Font, Book Font, Refined, Sophisticated, Luxury</t>
  </si>
  <si>
    <t>403 Mesapholic</t>
  </si>
  <si>
    <t>Febri Riansah</t>
  </si>
  <si>
    <t>Umar Al Farouq</t>
  </si>
  <si>
    <t>imagens\403_Mesapholic.png</t>
  </si>
  <si>
    <t>https://www.myfonts.com/pt/collections/403-mesapholic-font-403tf</t>
  </si>
  <si>
    <t>Serif, High Contrast Serif, Modern Serif, Elegant Font, Luxury Font, Branding, Logo, Logotype, Editorial, Headline, Magazine, Packaging, Fashion, Fluid Italic, Expressive Italic, Multilingual, Extended Latin, Webfont, Display Font</t>
  </si>
  <si>
    <t>Positano Sunday</t>
  </si>
  <si>
    <t>Ivan Rosenberg</t>
  </si>
  <si>
    <t>imagens\Positano_Sunday.png</t>
  </si>
  <si>
    <t>https://www.myfonts.com/pt/collections/positano-sunday-font-ivan-rosenberg</t>
  </si>
  <si>
    <t>Vintage, Font Trio, Amalfi, Retro, Script, Summer Beach, Travel, Italian, Coast, French, Matchbox, Vintage Travel, Handwritten, Coastal, Poster</t>
  </si>
  <si>
    <t>Cenios Stamp</t>
  </si>
  <si>
    <t>imagens\Cenios_Stamp.png</t>
  </si>
  <si>
    <t>https://www.myfonts.com/pt/collections/cenios-stamp-font-craft-supply-co</t>
  </si>
  <si>
    <t>expanded, modern sans serif, sans serif, sans text, Text., text copy, booktext, editorial, magazine</t>
  </si>
  <si>
    <t>Cenios Rounded</t>
  </si>
  <si>
    <t>imagens\Cenios_Rounded.png</t>
  </si>
  <si>
    <t>https://www.myfonts.com/pt/collections/cenios-rounded-font-craft-supply-co</t>
  </si>
  <si>
    <t>graffiti, bloob, 90s, 70s, 80s, groovy, baloon, clouds, kooky, bubble</t>
  </si>
  <si>
    <t>Curly Muse Cyrillic</t>
  </si>
  <si>
    <t>Ira Dvilyuk</t>
  </si>
  <si>
    <t>Iryna Dviliuk</t>
  </si>
  <si>
    <t>imagens\Curly_Muse_Cyrillic.png</t>
  </si>
  <si>
    <t>https://www.myfonts.com/pt/collections/curly-muse-cyrillic-font-ira-dvilyuk</t>
  </si>
  <si>
    <t>Kigs, Playful, Script, Ligatures, Display, Bulgarian, Ukrainian, Russian, Decorative, Cyrillic</t>
  </si>
  <si>
    <t>Vittorika</t>
  </si>
  <si>
    <t>imagens\Vittorika.png</t>
  </si>
  <si>
    <t>https://www.myfonts.com/pt/collections/vittorika-font-letterena-studios</t>
  </si>
  <si>
    <t>Axonemic</t>
  </si>
  <si>
    <t>imagens\Axonemic.png</t>
  </si>
  <si>
    <t>https://www.myfonts.com/pt/collections/axonemic-font-herry92</t>
  </si>
  <si>
    <t>Modern Style, Display, Industrial, AI Startups, Hardware, Software, Games, Technology, Cyber Aesthetic, Futuristic, Posters, Digital Modernity, Logo, Electronic Products, Connectivity</t>
  </si>
  <si>
    <t>Ragion</t>
  </si>
  <si>
    <t>Romie Creative</t>
  </si>
  <si>
    <t>Romi Rahmadi</t>
  </si>
  <si>
    <t>imagens\Ragion.png</t>
  </si>
  <si>
    <t>https://www.myfonts.com/pt/collections/ragion-font-romie-creative</t>
  </si>
  <si>
    <t>Sans Serif, Classy, Elegant, Display, Light, Caption, Fashion, Optima, Elegant Sans, Contrast Font, Logo Font, Logotype Font, Poster Font, Advertising, Flyer, Title Font, Magazine Font, Web Font, Webinar Slide Deck, Popular Font</t>
  </si>
  <si>
    <t>Vegraf</t>
  </si>
  <si>
    <t>Svetlana Li</t>
  </si>
  <si>
    <t>imagens\Vegraf.png</t>
  </si>
  <si>
    <t>https://www.myfonts.com/pt/collections/vegraf-font-vegraf</t>
  </si>
  <si>
    <t>Avant Garde, Bauhaus, Constructivist, Geometric, Geo Sans, Display, Modern, Experimental, Asymmetric, Artistic, Bold, Poster, Headline, Branding, Editorial, Creative, Contemporary, Sharp, Uppercase, Design</t>
  </si>
  <si>
    <t>Arko Small CAPS</t>
  </si>
  <si>
    <t>NumidiaType</t>
  </si>
  <si>
    <t>Yassine Abdi</t>
  </si>
  <si>
    <t>imagens\Arko_Small_CAPS.png</t>
  </si>
  <si>
    <t>https://www.myfonts.com/pt/collections/arko-small-caps-font-numidiatype</t>
  </si>
  <si>
    <t>Sans, Sans Serif, Web, Apps, Dynamic, Modern, Motion Design, UI, UX, Web Design, Display, Adobe, Monotype, Canva, Affinity, Technology, PowerPoint, AI, Fun, Original</t>
  </si>
  <si>
    <t>Schastur</t>
  </si>
  <si>
    <t>imagens\Schastur.png</t>
  </si>
  <si>
    <t>https://www.myfonts.com/pt/collections/schastur-font-made-deduk</t>
  </si>
  <si>
    <t>Blackletter, Decorative, Modern Blackletter, Classic Blackletter, Gothic, Oldenglish, Typography, Branding, Fashion, Logotype, Headline Font, Tattoo Font, Book Cover Font, Oldschool, Bold Font, Horror Font, Nightmare Font, Halloween Font, Fantasy Font, Metal Font</t>
  </si>
  <si>
    <t>Molisans</t>
  </si>
  <si>
    <t>imagens\Molisans.png</t>
  </si>
  <si>
    <t>https://www.myfonts.com/pt/collections/molisans-font-pandeka-studio</t>
  </si>
  <si>
    <t>Clean, Minimal, Sans, Serif, Modern, Professional, Branding, Corporate, Typography, Geometric, Elegant, Versatile, Design, Logo, Ui, Ux, Editorial, Web, Contemporary, Display</t>
  </si>
  <si>
    <t>Auren</t>
  </si>
  <si>
    <t>Hasbi Creative</t>
  </si>
  <si>
    <t>Hasbi Azmi</t>
  </si>
  <si>
    <t>imagens\Auren.png</t>
  </si>
  <si>
    <t>https://www.myfonts.com/pt/collections/auren-font-hasbi-creative</t>
  </si>
  <si>
    <t>Auren, Sansserif, Modern, Minimal, Clean, Geometric, Humanist, Font, Typography, Display, Text, Branding, Editorial, Corporate, Webfont, Magazine, Poster, Packaging, Professional, Uiux</t>
  </si>
  <si>
    <t>Something Different</t>
  </si>
  <si>
    <t>Sugeng Hariyanto</t>
  </si>
  <si>
    <t>imagens\Something_Different.png</t>
  </si>
  <si>
    <t>https://www.myfonts.com/pt/collections/something-different-font-sugeng-hariyanto</t>
  </si>
  <si>
    <t>Handwritten, Script, Signature, Calligraphy, Handlettered, Modern Script, Elegant, Cursive, Stylish, Feminine, Classy, Flowing, Wedding, Logo Font, Branding, Luxury, Romantic, Aesthetic, Ligatures, Alternates</t>
  </si>
  <si>
    <t>Sophan Elegant</t>
  </si>
  <si>
    <t>Burntilldead</t>
  </si>
  <si>
    <t>imagens\Sophan_Elegant.png</t>
  </si>
  <si>
    <t>https://www.myfonts.com/pt/collections/sophan-elegant-font-burntilldead</t>
  </si>
  <si>
    <t>Elegant Font Duo, Luxury Script Font, Classy Serif Font, Modern Serif and Script, Feminine Calligraphy Font, Romantic Wedding Font, High-end Branding Font, Timeless Elegant Font, Font for Fashion Branding, Script Font With Ligatures, Stylish OpenType Font, Serif Font With Luxury Feel, Wedding Invitation Font, Premium Font Duo, Sophisticated Typography, Modern Glam Font, Serif and Script Pair, Decorative Serif Font, Elegant Logo Font, Chic Editorial Font</t>
  </si>
  <si>
    <t>MC Earla Bridga</t>
  </si>
  <si>
    <t>imagens\MC_Earla_Bridga.png</t>
  </si>
  <si>
    <t>https://www.myfonts.com/pt/collections/mc-earla-bridga-font-maulana-creative</t>
  </si>
  <si>
    <t>Metal Font, Brush Font, Hardcore Font, Punk Font, Rock Font, Grunge Typeface, High Energy, Album Cover, Band Logo, Metalcore Font, Death Metal, Heavy Metal, Raw Power, Streetwear Design, Apparel Design, Concert Poster, Music Industry, Extreme Sport, Display Font, Horror Font</t>
  </si>
  <si>
    <t>Vighty</t>
  </si>
  <si>
    <t>Sronstudio</t>
  </si>
  <si>
    <t>Muhamad Yusron Billah</t>
  </si>
  <si>
    <t>imagens\Vighty.png</t>
  </si>
  <si>
    <t>https://www.myfonts.com/pt/collections/vighty-font-sronstudio</t>
  </si>
  <si>
    <t>Blackletter, Gothic, Medieval, Vintage, Ornate, Classic, Oldstyle, Bold, Decorative, Retro, Antique, Traditional, Calligraphy, Tattoo, Sharp, Historic, Heritage, Royal, Oldenglish, Medievalstyle</t>
  </si>
  <si>
    <t>Marblis</t>
  </si>
  <si>
    <t>Fincker Font Cuisine</t>
  </si>
  <si>
    <t>Julien Fincker</t>
  </si>
  <si>
    <t>imagens\Marblis.png</t>
  </si>
  <si>
    <t>https://www.myfonts.com/pt/collections/marblis-font-julien-fincker</t>
  </si>
  <si>
    <t>Sans-serif, Typeface, Font, Clean, Legible, Solid, Reliable, Casual, Body Text, Text Font, Headline, Logo, Corporate Identity, Corporate Font, Branding, Advertising, Orientation System, Grotesque, Modern</t>
  </si>
  <si>
    <t>Aftershade</t>
  </si>
  <si>
    <t>Bilberry Create</t>
  </si>
  <si>
    <t>Daria Cherniackova</t>
  </si>
  <si>
    <t>imagens\Aftershade.png</t>
  </si>
  <si>
    <t>https://www.myfonts.com/pt/collections/aftershade-font-bilberry-create</t>
  </si>
  <si>
    <t>Gothic Font, Dark Academia Font, Halloween Font, Spooky Typeface, Horror Font, Witchy Font, Occult Typography, Haunted Font, Mystical Serif, Paranormal Font, Creepy Elegant Font, Dark Romance Typeface, Gothic Script Duo, Handcrafted Font, Serif Font, Vintage Serif, 1800s Typeface, Luxury Font, Classic Font</t>
  </si>
  <si>
    <t>Primaxis Script</t>
  </si>
  <si>
    <t>Octotypo</t>
  </si>
  <si>
    <t>Julien Janiszewski</t>
  </si>
  <si>
    <t>imagens\Primaxis_Script.png</t>
  </si>
  <si>
    <t>https://www.myfonts.com/pt/collections/primaxis-script-font-octotypo</t>
  </si>
  <si>
    <t>Script, Cursive, Handwriting, Italic, Elegant, Display, Logo, Branding, Fashion, Lifestyle, Modern, Stylish, Connected, Flowing, Sophisticated, Headline, Packaging, Luxury, Contemporary, Signature</t>
  </si>
  <si>
    <t>Rolling Highway</t>
  </si>
  <si>
    <t>imagens\Rolling_Highway.png</t>
  </si>
  <si>
    <t>https://www.myfonts.com/pt/collections/rolling-highway-font-stylishtype-studio</t>
  </si>
  <si>
    <t>Script, Handwritten, Elegant, Modern, Flowing, Smooth, Stylish, Cursive, Branding, Signature, Swash, Creative, Italic, Display, Romantic</t>
  </si>
  <si>
    <t>MC Visco Doubt</t>
  </si>
  <si>
    <t>imagens\MC_Visco_Doubt.png</t>
  </si>
  <si>
    <t>https://www.myfonts.com/pt/collections/mc-visco-doubt-font-maulana-creative</t>
  </si>
  <si>
    <t>Casual Font, Handmade Font, Display Font, Marker Font, Brush Script, Monoline Font, Cool Typeface, Trendy Font, Hand Drawn, Energetic Script, Rough Texture, Quick Script, Retro Style, Fun Design, Bold Lettering, Street Wear, Apparel Design, T-shirt Print, Quote Graphic, Unique Style</t>
  </si>
  <si>
    <t>SG Verace</t>
  </si>
  <si>
    <t>imagens\SG_Verace.png</t>
  </si>
  <si>
    <t>https://www.myfonts.com/pt/collections/sg-verace-font-studio-gulden</t>
  </si>
  <si>
    <t>Sans Serif, Grotesk, Neo-grotesk, Modern, Contemporary, Clean, Versatile, Workhorse, Branding, Logo, Headline, Editorial, Ui, Ux, Webfont, App Design, Corporate, Tech, Sharp, Technical</t>
  </si>
  <si>
    <t>Sparkla</t>
  </si>
  <si>
    <t>imagens\Sparkla.png</t>
  </si>
  <si>
    <t>https://www.myfonts.com/pt/collections/sparkla-font-jafar07</t>
  </si>
  <si>
    <t>Christmas, Holiday, Festive, Playful, Cute, Kids, Display, Decorative, Seasonal, Fun, Winter, Poster, Branding, Cartoon, Celebration</t>
  </si>
  <si>
    <t>Roadside Sans</t>
  </si>
  <si>
    <t>Hiraya Grapika</t>
  </si>
  <si>
    <t>Emmanuel Ludovice</t>
  </si>
  <si>
    <t>imagens\Roadside_Sans.png</t>
  </si>
  <si>
    <t>https://www.myfonts.com/pt/collections/roadside-sans-font-hiraya-grapika</t>
  </si>
  <si>
    <t>Retro, Vintage, Bold Display, Display, All Caps, Rounded, Semi-condensed, Modern, Signage, Marquee, Diner, Americana, Branding, Packaging, Poster, Logo, Menu, Headline</t>
  </si>
  <si>
    <t>Fatofat Brush</t>
  </si>
  <si>
    <t>Hati</t>
  </si>
  <si>
    <t>Wahyu Eka Prasetya</t>
  </si>
  <si>
    <t>imagens\Fatofat_Brush.png</t>
  </si>
  <si>
    <t>https://www.myfonts.com/pt/collections/fatofat-brush-font-hati</t>
  </si>
  <si>
    <t>Brush, Rebel, Revolt, Young, Art, Organic, Ink, Dynamic, War, Horror, Terror, Surreal, Expressive, Liberty, Freedom, Strong, Robust</t>
  </si>
  <si>
    <t>Traffic Rolland</t>
  </si>
  <si>
    <t>imagens\Traffic_Rolland.png</t>
  </si>
  <si>
    <t>https://www.myfonts.com/pt/collections/traffic-rolland-font-tini-fitriani</t>
  </si>
  <si>
    <t>Script Font, Retro, Groovy, Vintage, Display, Handwritten Font, Lettering Font, Cursive Font, Hipster, Typeface, Extrude Font, Bold Vintage, Modern Retro, Old Font, 80s, 90s, Old Style, Display Font, Classic Font</t>
  </si>
  <si>
    <t>Meln</t>
  </si>
  <si>
    <t>imagens\Meln.png</t>
  </si>
  <si>
    <t>https://www.myfonts.com/pt/collections/meln-font-bilberry-create</t>
  </si>
  <si>
    <t>Weird, Fat, Display, Unusual, Crazy, Fun, Happy, Load, Bold, Curvy, Voluptuous, Chunky, Chunk, Food, Party, Valentine, Greeting Card, Vintage, 90s</t>
  </si>
  <si>
    <t>Consina</t>
  </si>
  <si>
    <t>Anzone glyph</t>
  </si>
  <si>
    <t>Irwansyah Irwansyah</t>
  </si>
  <si>
    <t>imagens\Consina.png</t>
  </si>
  <si>
    <t>https://www.myfonts.com/pt/collections/consina-font-anzone-glyph</t>
  </si>
  <si>
    <t>Sans Serif, Sans Gothic, Sans Variable, Display, Variable, Grotesk, Branding, Advertising, Corporate, Editorial, Sans Serif Family, Font Family, Modern, Type Design, Typography, Font</t>
  </si>
  <si>
    <t>Dusborne Vintage</t>
  </si>
  <si>
    <t>imagens\Dusborne_Vintage.png</t>
  </si>
  <si>
    <t>https://www.myfonts.com/pt/collections/dusborne-vintage-font-nirmana-visual</t>
  </si>
  <si>
    <t>Vintage, Classic, Rough, Retro, Products Label, Logo, Badges, Packaging, Bold, Poster, Sign, Apparel, Branding</t>
  </si>
  <si>
    <t>Bestilo</t>
  </si>
  <si>
    <t>imagens\Bestilo.png</t>
  </si>
  <si>
    <t>https://www.myfonts.com/pt/collections/bestilo-font-artisan-themes</t>
  </si>
  <si>
    <t>Vintage Font, Retro Font, Display Font, Script Font, Duo Font, Font Duo, Stylish Font, Logo Font, Branding Font, Classic Font, Modern Font, Modern Retro Font, Headline Font, Bold Display Font, Textured Font, Motorcyle Font, Modern Vintage Font, Sans Serif Font, Branding, Classy Font</t>
  </si>
  <si>
    <t>Klyno</t>
  </si>
  <si>
    <t>Nov 18, 2025</t>
  </si>
  <si>
    <t>imagens\Klyno.png</t>
  </si>
  <si>
    <t>https://www.myfonts.com/pt/collections/klyno-font-jafar07</t>
  </si>
  <si>
    <t>Sans, Geometric, Modern, Clean, Branding, Display, Minimal, Typography, Logo, Editorial, Professional, Tech, Digital, Family, Design</t>
  </si>
  <si>
    <t>Valore</t>
  </si>
  <si>
    <t>Nollev</t>
  </si>
  <si>
    <t>Akhmad Hidayat</t>
  </si>
  <si>
    <t>imagens\Valore.png</t>
  </si>
  <si>
    <t>https://www.myfonts.com/pt/collections/valore-font-nollev</t>
  </si>
  <si>
    <t>Valore, Valore Font, Valore Serif, Elegant Serif, Modern Serif, Luxury Font, Classy Serif, Display Serif, Wedding, Clean Serif, Minimal Serif, Nollev, Bold Serif, Beauty Font, Serif Family, Modern Typeface, Editorial Font, Logo Font, Clean Font</t>
  </si>
  <si>
    <t>Sketchy Charm</t>
  </si>
  <si>
    <t>Violatype</t>
  </si>
  <si>
    <t>David Kasidi</t>
  </si>
  <si>
    <t>imagens\Sketchy_Charm.png</t>
  </si>
  <si>
    <t>https://www.myfonts.com/pt/collections/sketchy-charm-font-violatype</t>
  </si>
  <si>
    <t>Handwriting, Handlettering, Famous, Viral, Font, Kids, Quotes, Magazine, Modern, Vintage, Classic, Bold, Funny, Fun</t>
  </si>
  <si>
    <t>ATP Mono Lanes</t>
  </si>
  <si>
    <t>imagens\ATP_Mono_Lanes.png</t>
  </si>
  <si>
    <t>https://www.myfonts.com/pt/collections/atp-mono-lanes-font-typeparties</t>
  </si>
  <si>
    <t>Handwritten, Handwritten Font, Monoline, Monoline Font, Typeface, Handwriting Font, Script Font, Modren Font, Skinny Font, Handwritten Script Font, Vintage Font, Mid Century Font</t>
  </si>
  <si>
    <t>Meylda</t>
  </si>
  <si>
    <t>imagens\Meylda.png</t>
  </si>
  <si>
    <t>https://www.myfonts.com/pt/collections/meylda-font-sealoung</t>
  </si>
  <si>
    <t>Stylish, Elegant, Luxury, Modern, Unique, Corporate, Magazine, Wedding, Skincare, Cosmetic, Casual, Branding, Logotype</t>
  </si>
  <si>
    <t>Anthology Paradise</t>
  </si>
  <si>
    <t>imagens\Anthology_Paradise.png</t>
  </si>
  <si>
    <t>https://www.myfonts.com/pt/collections/anthology-paradise-font-uicreative</t>
  </si>
  <si>
    <t>Golden Heritage</t>
  </si>
  <si>
    <t>imagens\Golden_Heritage.png</t>
  </si>
  <si>
    <t>https://www.myfonts.com/pt/collections/golden-heritage-font-uicreative</t>
  </si>
  <si>
    <t>Lehit</t>
  </si>
  <si>
    <t>Tkachenko design</t>
  </si>
  <si>
    <t>Valentyn Tkachenko</t>
  </si>
  <si>
    <t>https://www.myfonts.com/pt/collections/lehit-font-tkachenko-design</t>
  </si>
  <si>
    <t>Elegant, Display, Logo, Latin, Cyrillic, Condensed, Wide, Variable, Expressive, Distinctive, Width, Decorative, Playful, Light, Opentype, Friendly, Soft, Breeze, Experimental</t>
  </si>
  <si>
    <t>TRT Pachel</t>
  </si>
  <si>
    <t>imagens\TRT_Pachel.png</t>
  </si>
  <si>
    <t>https://www.myfonts.com/pt/collections/trt-pachel-font-true-type-lab</t>
  </si>
  <si>
    <t>Casual, Chic, Display, Editorial, Serif Font, Elegant Font, Boho Font, Minimalist, Modern, Logo Font, Fashion, Magazine, Branding, Classy, Wedding, Luxury, Beauty Branding, Hotel Branding, Gourment, Web</t>
  </si>
  <si>
    <t>Zoris</t>
  </si>
  <si>
    <t>imagens\Zoris.png</t>
  </si>
  <si>
    <t>https://www.myfonts.com/pt/collections/zoris-font-maikohatta</t>
  </si>
  <si>
    <t>Font, Serif, Style, Elegant, Luxury, Display, Classic, Magazine, Branding, Fashion, Packaging, Feminine</t>
  </si>
  <si>
    <t>Gorga S VF</t>
  </si>
  <si>
    <t>imagens\Gorga_S_VF.png</t>
  </si>
  <si>
    <t>https://www.myfonts.com/pt/collections/gorga-s-vf-font-vp-creative-shop</t>
  </si>
  <si>
    <t>Variable, Variable Font, Sans Serif, Modern Sans, Wide Font Family, Condensed Font, Expanded Font, Multilingual Font, Editorial Font, Clean Font, Italic Font, Branding Font, Packaging Font, Swash Alternates, Swashes, Flexible Font, Gorga Sans, Display Sans Serif, Logo Font, Magazine Typeface</t>
  </si>
  <si>
    <t>Restless Sea</t>
  </si>
  <si>
    <t>Nov 22, 2025</t>
  </si>
  <si>
    <t>imagens\Restless_Sea.png</t>
  </si>
  <si>
    <t>https://www.myfonts.com/pt/collections/restless-sea-font-bogstav</t>
  </si>
  <si>
    <t>Handmade, Contextual, Alternates, Organic, Contextual Alternates, Happy, Packaging, Lively, Jumpy, Cartoon, Boy, Girl, Informal, Warm, Smooth</t>
  </si>
  <si>
    <t>Ethere S VF</t>
  </si>
  <si>
    <t>Nov 21, 2025</t>
  </si>
  <si>
    <t>imagens\Ethere_S_VF.png</t>
  </si>
  <si>
    <t>https://www.myfonts.com/pt/collections/ethere-s-vf-font-vp-creative-shop</t>
  </si>
  <si>
    <t>Modern, Sans Serif, Futuristic, Font, Geometric Sans, Clean Typeface, Variable Font, Minimal Font, Branding Font, Display, Modern Typography, Creative, Logo Font, Editorial, Tech, Elegant, Versatile, Professional, Logo Type, Typeface</t>
  </si>
  <si>
    <t>Bakery Tastyla</t>
  </si>
  <si>
    <t>imagens\Bakery_Tastyla.png</t>
  </si>
  <si>
    <t>https://www.myfonts.com/pt/collections/bakery-tastyla-font-letterena-studios</t>
  </si>
  <si>
    <t>Typography, Ligature, Alternates, BrushFont, ScriptFont, Logo, Branding, SignatureType, FashionFont, PosterFont, OrganicBrush, CreativeFont, Lifestyle, VibrantType, SummerFont, ModernScript, BoldScript, ArtisticFont, HandwrittenType, RetroBrush</t>
  </si>
  <si>
    <t>Rusdane</t>
  </si>
  <si>
    <t>Zaloma Studio</t>
  </si>
  <si>
    <t>Mahyudi Mahyudi</t>
  </si>
  <si>
    <t>imagens\Rusdane.png</t>
  </si>
  <si>
    <t>https://www.myfonts.com/pt/collections/rusdane-font-zaloma-studio</t>
  </si>
  <si>
    <t>Serif, Modern Serif, Luxury, Branding, Editorial, Elegant Serif, Display Serif, Classy Font, Premium Typeface, Timeless Serif, Elegant Logo Font, Minimalis, Wedding Font, Beauty Branding Font, Decorative Typeface, Rusdane, Chic Serif, Logo Font</t>
  </si>
  <si>
    <t>EZ Emberlyn</t>
  </si>
  <si>
    <t>imagens\EZ_Emberlyn.png</t>
  </si>
  <si>
    <t>https://www.myfonts.com/pt/collections/ez-emberlyn-font-zafara-studios</t>
  </si>
  <si>
    <t>Handwritten, Handwriting, Whimsical, Cute, Playful, Friendly, Soft, Gentle, Casual, Fun, Sweet, Cozy, Warm, Feminine, Aesthetic, Modern, Display, Quote, Branding, Invitation</t>
  </si>
  <si>
    <t>Silentone Barcelona</t>
  </si>
  <si>
    <t>imagens\Silentone_Barcelona.png</t>
  </si>
  <si>
    <t>https://www.myfonts.com/pt/collections/silentone-barcelona-font-letterena-studios</t>
  </si>
  <si>
    <t>Gaego</t>
  </si>
  <si>
    <t>imagens\Gaego.png</t>
  </si>
  <si>
    <t>https://www.myfonts.com/pt/collections/gaego-font-jafar07</t>
  </si>
  <si>
    <t>Modern, Logo, Food, Sport, Sansserif, Minimalist, Clean, Typography, Branding, Uiux, Geometric, Gaego, Design, Professional, Display</t>
  </si>
  <si>
    <t>SFMacaron ELdance</t>
  </si>
  <si>
    <t>Fonts66</t>
  </si>
  <si>
    <t>https://www.myfonts.com/pt/collections/sfmacaron-eldance-font-fonts66</t>
  </si>
  <si>
    <t>SFPrintemps EL</t>
  </si>
  <si>
    <t>https://www.myfonts.com/pt/collections/sfprintemps-el-font-fonts66</t>
  </si>
  <si>
    <t>SFEllemin</t>
  </si>
  <si>
    <t>https://www.myfonts.com/pt/collections/sfellemin-font-fonts66</t>
  </si>
  <si>
    <t>Festive Partys</t>
  </si>
  <si>
    <t>imagens\Festive_Partys.png</t>
  </si>
  <si>
    <t>https://www.myfonts.com/pt/collections/festive-partys-font-letterena-studios</t>
  </si>
  <si>
    <t>Fantaslife Radiostar</t>
  </si>
  <si>
    <t>imagens\Fantaslife_Radiostar.png</t>
  </si>
  <si>
    <t>https://www.myfonts.com/pt/collections/fantaslife-radiostar-font-letterena-studios</t>
  </si>
  <si>
    <t>Signature, Wedding, Fashion, Photography, Branding, Elegant, Font, Script, Calligraphy, Modern, Casual, Visual, Card, Logo, Typhography, Design, Poster, Handwritting, Lettering, Promotion</t>
  </si>
  <si>
    <t>Dream Theatrion</t>
  </si>
  <si>
    <t>imagens\Dream_Theatrion.png</t>
  </si>
  <si>
    <t>https://www.myfonts.com/pt/collections/dream-theatrion-font-letterara</t>
  </si>
  <si>
    <t>Christmas, Serif, Branding, Logo, Packaging, Cover, Elegant, Beauty, Elegant Font, Retro Serif Font, Retro, Decorative Serif, Typeface, Website Heading, Display Font, Luxury, Luxury Website, Creative Display, Stylish Serif, Premium Serif</t>
  </si>
  <si>
    <t>Morenta</t>
  </si>
  <si>
    <t>Stripes Studio</t>
  </si>
  <si>
    <t>Yur Lis</t>
  </si>
  <si>
    <t>imagens\Morenta.png</t>
  </si>
  <si>
    <t>https://www.myfonts.com/pt/collections/morenta-font-stripes-studio</t>
  </si>
  <si>
    <t>Sans Serif, Modern Font, Clean Typeface, Elegant Sans, Geometric Sans, Minimalist Font, Professional Font, Branding Font, Display Typeface, Editorial Font, Corporate Font, Packaging Font, Multilingual Font, Variable Styles</t>
  </si>
  <si>
    <t>BBKV Base</t>
  </si>
  <si>
    <t>Bureaubukv</t>
  </si>
  <si>
    <t>Tanya Cherkiz</t>
  </si>
  <si>
    <t>imagens\BBKV_Base.png</t>
  </si>
  <si>
    <t>https://www.myfonts.com/pt/collections/bbkv-base-font-bureaubukv</t>
  </si>
  <si>
    <t>Sans, Sans Serif, Grotesque, Geometric, Text, Variable, Neutral, Rational, Corporate, Fintech, Contemporary, Ui, Strong, Branding</t>
  </si>
  <si>
    <t>SFSelif Gothic RE</t>
  </si>
  <si>
    <t>https://www.myfonts.com/pt/collections/sfselif-gothic-re-font-fonts66</t>
  </si>
  <si>
    <t>GC Amore Promised</t>
  </si>
  <si>
    <t>Onyx Studio</t>
  </si>
  <si>
    <t>Muhammad Hafiizh Solana</t>
  </si>
  <si>
    <t>imagens\GC_Amore_Promised.png</t>
  </si>
  <si>
    <t>https://www.myfonts.com/pt/collections/gc-amore-promised-font-onyx-studio</t>
  </si>
  <si>
    <t>Retro, Classy, Serif, Modern, Vintage, Fashion, Classic, Trendy, Stylish, Stylish Serif, Cool, Magazine, Font, Typeface, Canva, Decorative, Popular Font, Elegant, Branding, Italic</t>
  </si>
  <si>
    <t>Morath</t>
  </si>
  <si>
    <t>imagens\Morath.png</t>
  </si>
  <si>
    <t>https://www.myfonts.com/pt/collections/morath-font-bayuktx</t>
  </si>
  <si>
    <t>Horror, Typeface, Halloween, Movie, Scary, Poster, Game, Dirty, Logotype, Title, Display, Decorative, Ghost, Creepy, Business, Cinema, Brand, Film, Bloody, Thriller</t>
  </si>
  <si>
    <t>Bright Flow</t>
  </si>
  <si>
    <t>ZorkSlide</t>
  </si>
  <si>
    <t>Zuhayr Zunayra</t>
  </si>
  <si>
    <t>imagens\Bright_Flow.png</t>
  </si>
  <si>
    <t>https://www.myfonts.com/pt/collections/bright-flow-font-zorkslide</t>
  </si>
  <si>
    <t>Branding, Logo Design, Social Media Posts, Invitations, Greeting Cards, Quotes Design, Wedding Stationery, Business Cards, Product Packaging, Label Design, Aesthetic Titles, Handwritten Notes, Subtitle Text, Minimalist Design, Small Prints, Poster Design, Website Headers, Journaling, Scrapbook Titles, Signature Style</t>
  </si>
  <si>
    <t>Welmap</t>
  </si>
  <si>
    <t>imagens\Welmap.png</t>
  </si>
  <si>
    <t>https://www.myfonts.com/pt/collections/welmap-font-hasnat-studio</t>
  </si>
  <si>
    <t>Melted Serif, Melted Font, Artistic Serif, Creative Serif, Fluid Letters, Dripping Font, Expressive Font, Unique Serif, Decorative Serif, Aesthetic Font, Trendy Serif, Wavy Serif, Liquid Font, Magazine Font, Poster Font, Album Cover, Social Media, Statement Font, Headline Font, Branding Font</t>
  </si>
  <si>
    <t>Standing Stars</t>
  </si>
  <si>
    <t>imagens\Standing_Stars.png</t>
  </si>
  <si>
    <t>https://www.myfonts.com/pt/collections/standing-stars-font-nathatype</t>
  </si>
  <si>
    <t>Logofont, Logo, Foodlogo, Foodfont, Modern, Boldmodern, Duo, Stylish, Display, Brand, Branding, Restaurant, Lettering, Handwritten, Script</t>
  </si>
  <si>
    <t>Gelapitto</t>
  </si>
  <si>
    <t>imagens\Gelapitto.png</t>
  </si>
  <si>
    <t>https://www.myfonts.com/pt/collections/gelapitto-font-hishand-studio</t>
  </si>
  <si>
    <t>Script, Script Font, Brush Font, Handwritten Font, Handwriting Font, Beautiful Font, Chill Font, Logo Font, Logtype, Logo, Branding Font, Aesthetic Font, Summer Font, Tropical Font, Cool Font, Marketing Material Font, Media, Sign, Magazine, Beauty Font</t>
  </si>
  <si>
    <t>Rosetwood Adorattion</t>
  </si>
  <si>
    <t>imagens\Rosetwood_Adorattion.png</t>
  </si>
  <si>
    <t>https://www.myfonts.com/pt/collections/rosetwood-adorattion-font-letterena-studios</t>
  </si>
  <si>
    <t>Destroy Yards</t>
  </si>
  <si>
    <t>imagens\Destroy_Yards.png</t>
  </si>
  <si>
    <t>https://www.myfonts.com/pt/collections/destroy-yards-font-bayuktx</t>
  </si>
  <si>
    <t>Font, Typeface, Urban, Poster, Retro, Graffiti, Lettering, Brush, 3d, Logotype, Spray, Decorative, Wedding, Stylish, Display, Label, Skatepark, Signboard, Skateboard, Freestyle</t>
  </si>
  <si>
    <t>Ocean Delight</t>
  </si>
  <si>
    <t>imagens\Ocean_Delight.png</t>
  </si>
  <si>
    <t>https://www.myfonts.com/pt/collections/ocean-delight-font-blankids</t>
  </si>
  <si>
    <t>Stylish, Script, Handwriting, Calligraphy, Artsy, Aesthetic, Modern, Elegant, Classy, Trendy, Luxury, Glamour, Romantic, Wedding, Branding, Florish, Ligature, Swash, Clean, Minimalist</t>
  </si>
  <si>
    <t>Rhoda</t>
  </si>
  <si>
    <t>RMU</t>
  </si>
  <si>
    <t>Ralph M. Unger</t>
  </si>
  <si>
    <t>imagens\Rhoda.png</t>
  </si>
  <si>
    <t>https://www.myfonts.com/pt/collections/rhoda-font-rmu</t>
  </si>
  <si>
    <t>German, Retro, Turn-of-the-century, Sans Serif, Art Nouveau, West European, Discretionary Ligatures, Legible</t>
  </si>
  <si>
    <t>Rocavio</t>
  </si>
  <si>
    <t>Jehoo Creative</t>
  </si>
  <si>
    <t>Anwar Patihan</t>
  </si>
  <si>
    <t>imagens\Rocavio.png</t>
  </si>
  <si>
    <t>https://www.myfonts.com/pt/collections/rocavio-font-jehoo-creative</t>
  </si>
  <si>
    <t>Serif, Prestige, Workhorse, Elegance, System, Stylish, Modern, Branding, Titles, Legible, True Italic, Publishing, Contemporary, Display, Classical, Magazine, Headline, Text, Editorial, Refined</t>
  </si>
  <si>
    <t>Agjez</t>
  </si>
  <si>
    <t>imagens\Agjez.png</t>
  </si>
  <si>
    <t>https://www.myfonts.com/pt/collections/agjez-font-hasnat-studio</t>
  </si>
  <si>
    <t>Futuristic Font, Geometric Font, Tech Font, Digital Font, Modern Display, Cyber Font, Angular Font, Innovative Font, Techno Font, Gaming Font, Neon Font, Digital Typeface, Cyberpunk Font', App Font, Web Font, Startup Font, Cutting Edge, Sharp Geometry, Modern Angular, Bold Tech</t>
  </si>
  <si>
    <t>Latruq</t>
  </si>
  <si>
    <t>imagens\Latruq.png</t>
  </si>
  <si>
    <t>https://www.myfonts.com/pt/collections/latruq-font-hasnat-studio</t>
  </si>
  <si>
    <t>Display Font, Branding Font, Logo Font, Headline Font, Title Font, Magazine Font, Editorial Font, Presentation Font, Label Font, Packaging Font, Refined Sans, Smooth Sans, Premium Sans, Geometric Sans, Creative Ligatures, Versatile Sans, Design Font, Digital Font, Corporate Font, Multilingual Font</t>
  </si>
  <si>
    <t>SFFlora Deep U</t>
  </si>
  <si>
    <t>https://www.myfonts.com/pt/collections/sfflora-deep-u-font-fonts66</t>
  </si>
  <si>
    <t>Maheng</t>
  </si>
  <si>
    <t>imagens\Maheng.png</t>
  </si>
  <si>
    <t>https://www.myfonts.com/pt/collections/maheng-font-sulthan-studio</t>
  </si>
  <si>
    <t>Modern Serif, Modern Font, Cool Font, Family Font</t>
  </si>
  <si>
    <t>Esternal</t>
  </si>
  <si>
    <t>Ronin Design</t>
  </si>
  <si>
    <t>RoninDesign</t>
  </si>
  <si>
    <t>imagens\Esternal.png</t>
  </si>
  <si>
    <t>https://www.myfonts.com/pt/collections/esternal-font-ronin-design</t>
  </si>
  <si>
    <t>Horror, Metal, Poster, Branding, Logo, Album Cover, Dark Theme, Gothic, Streetwear, Tattoo, Packaging, Headline, Display, Edgy, Fantasy, Action, Thriller, Apparel, Aggressive, Survival</t>
  </si>
  <si>
    <t>MC Cenraid Overfive</t>
  </si>
  <si>
    <t>imagens\MC_Cenraid_Overfive.png</t>
  </si>
  <si>
    <t>https://www.myfonts.com/pt/collections/mc-cenraid-overfive-font-maulana-creative</t>
  </si>
  <si>
    <t>Handmade Font, Cool Font, Display Typeface, Bold Script, Casual Lettering, Graffiti Style, Brush Font, Fun Display, Playful Font, Street Wear, Social Media, Logo Design, T-shirt Design, Modern Calligraphy, Quirky Font, Unique Character, Youthful Design, Dynamic Look, Product Packaging, Advertising Material</t>
  </si>
  <si>
    <t>Artonex</t>
  </si>
  <si>
    <t>imagens\Artonex.png</t>
  </si>
  <si>
    <t>https://www.myfonts.com/pt/collections/artonex-font-twinletter</t>
  </si>
  <si>
    <t>Crypto, Fintech, Digital, Hightech, Sans Serif, Bold, Headline, Premium, Modern, Branding, Logotype, Startup, Wallet, Corporate, Display, Inovation, Banking, Finace, Technology, Clean</t>
  </si>
  <si>
    <t>Rorane</t>
  </si>
  <si>
    <t>imagens\Rorane.png</t>
  </si>
  <si>
    <t>https://www.myfonts.com/pt/collections/rorane-font-jafar07</t>
  </si>
  <si>
    <t>Professional, Calm, Modern Clean, Font for Logo, Modern, Sans, Serif, Elegant, Font, Minimalist, Clean, Branding, Logo, Typography, Stylish</t>
  </si>
  <si>
    <t>Shapesoul Display</t>
  </si>
  <si>
    <t>Rafka Typework</t>
  </si>
  <si>
    <t>Tauris Mustafa</t>
  </si>
  <si>
    <t>imagens\Shapesoul_Display.png</t>
  </si>
  <si>
    <t>https://www.myfonts.com/pt/collections/shapesoul-display-font-rafka-typework</t>
  </si>
  <si>
    <t>Shapesoul Font, Organic Curve Typeface, Modern Display Font, Modern Organic Font, Smooth Bold Typeface, Geometric Organic Font, Playful Display Font, Contemporary Letterforms, Soft Curves Font, Expressive Typeface, Sans Serif, Stylish Modern Font, Unique Character Font, Alternate Characters, Stylistic Sets, Ligature Font, Font With Many Alternates, Variable Width Font, Branding Font, Packaging Font</t>
  </si>
  <si>
    <t>Vigrit</t>
  </si>
  <si>
    <t>imagens\Vigrit.png</t>
  </si>
  <si>
    <t>https://www.myfonts.com/pt/collections/vigrit-font-jafar07</t>
  </si>
  <si>
    <t>Luxury Fonts, Luxury Font, Premium, Menu, Devnagri, Luxury, Logo, Modern, Food, Elegant, Corporate, Serif, Display, Heading</t>
  </si>
  <si>
    <t>Bigboi Stomse</t>
  </si>
  <si>
    <t>imagens\Bigboi_Stomse.png</t>
  </si>
  <si>
    <t>https://www.myfonts.com/pt/collections/bigboi-stomse-font-timelesstype-studio</t>
  </si>
  <si>
    <t>Western Font, Vintage Display, Cowboy Style, Retro Serif, Bold Retro, Rustic Branding, Sheriff Theme, Old West Vibe, Retro Poster Font, Playful Serif, Chunky Display Font, Food Packaging Font, Café Retro Logo, Vintage Signage Font, Nostalgic Typeface, Retro Label Font, Wild West Aesthetic, Vintage Badge Style, Display Serif Retro, Classic Western Font</t>
  </si>
  <si>
    <t>GC Noxera Display</t>
  </si>
  <si>
    <t>imagens\GC_Noxera_Display.png</t>
  </si>
  <si>
    <t>https://www.myfonts.com/pt/collections/gc-noxera-display-font-onyx-studio</t>
  </si>
  <si>
    <t>Font, Sans Serif, Modern, Branding, Neutral, Bold, Bold Font, Helvetica, Typeface, Poster, Magazine, Creative, Clean Sans, Modern Sans, Display, Variable, Grotesk, Advertising, Web, Web Font</t>
  </si>
  <si>
    <t>Mavine</t>
  </si>
  <si>
    <t>Zeenesia Studio</t>
  </si>
  <si>
    <t>Doni Purwoko</t>
  </si>
  <si>
    <t>imagens\Mavine.png</t>
  </si>
  <si>
    <t>https://www.myfonts.com/pt/collections/mavine-font-zeenesia-studio</t>
  </si>
  <si>
    <t>Condensed Font, Family Font, Sans Serif Font, Display Font, Text Font, Variable Font, Logo Font, Logo Type, Typography, Branding Font, Advertising Font, Social Media Font, Web Font, Product Font, Packaging Font, Fashion Font, Poster Font, Headline Font, Magazine Font, Modern Font</t>
  </si>
  <si>
    <t>Anyheat</t>
  </si>
  <si>
    <t>Say Studio</t>
  </si>
  <si>
    <t>Mussyayin</t>
  </si>
  <si>
    <t>imagens\Anyheat.png</t>
  </si>
  <si>
    <t>https://www.myfonts.com/pt/collections/anyheat-font-vermilione</t>
  </si>
  <si>
    <t>Retro, Modern, Stylish, Slab, Serif</t>
  </si>
  <si>
    <t>Monsieur Bastille</t>
  </si>
  <si>
    <t>IKIIKOWRK</t>
  </si>
  <si>
    <t>Andhika Pradana</t>
  </si>
  <si>
    <t>imagens\Monsieur_Bastille.png</t>
  </si>
  <si>
    <t>https://www.myfonts.com/pt/collections/monsieur-bastille-font-ikiikowrk</t>
  </si>
  <si>
    <t>French Font, Paris Font, Handwriting Font, Handmade Font, French Vibes, Paris Vibes, Artistic Font, Painting Style Font, Handdrawn Font, Script Font, Brush Script Font, Modern Calligraphy, Handwritten Type, Cafe Font, Aesthetic Font, Vintage French Style, Art Font</t>
  </si>
  <si>
    <t>Pinkan Twistera</t>
  </si>
  <si>
    <t>imagens\Pinkan_Twistera.png</t>
  </si>
  <si>
    <t>https://www.myfonts.com/pt/collections/pinkan-twistera-font-letterena-studios</t>
  </si>
  <si>
    <t>Branding, Packaging Design, Social Media, Apparel Merchandise, Custom Lettering, Headlines, Greeting Cards, Advertising, Brush Script, Handwritten, Textured, Energetic, Modern Script, Dynamic, Artistic, Spontaneous</t>
  </si>
  <si>
    <t>Black Street Urban</t>
  </si>
  <si>
    <t>imagens\Black_Street_Urban.png</t>
  </si>
  <si>
    <t>https://www.myfonts.com/pt/collections/black-street-urban-font-bayuktx</t>
  </si>
  <si>
    <t>Urban, Marker, Typography, Street, Graffiti, Brush, Handwritten, Modern, Spray, Typeface, Poster, Hiphop, Comic, Decorative, Hip Hop, Skatepark, Expressive, Air Brush, Clothing, Street Wear</t>
  </si>
  <si>
    <t>Aesthetic Timeglow</t>
  </si>
  <si>
    <t>imagens\Aesthetic_Timeglow.png</t>
  </si>
  <si>
    <t>https://www.myfonts.com/pt/collections/aesthetic-timeglow-font-letterena-studios</t>
  </si>
  <si>
    <t>Jichelo Rosela</t>
  </si>
  <si>
    <t>imagens\Jichelo_Rosela.png</t>
  </si>
  <si>
    <t>https://www.myfonts.com/pt/collections/jichelo-rosela-font-letterena-studios</t>
  </si>
  <si>
    <t>TK Enso</t>
  </si>
  <si>
    <t>Tamer Koseli</t>
  </si>
  <si>
    <t>Tamer Köşeli</t>
  </si>
  <si>
    <t>imagens\TK_Enso.png</t>
  </si>
  <si>
    <t>https://www.myfonts.com/pt/collections/tk-enso-font-tamer-koseli</t>
  </si>
  <si>
    <t>Display, Magazine, Branding, Stencil, Art Deco, Black, Tamer Koseli, Scan Line, Outline, Rough, Soft, Bitmap, Enso, Geometric, Bauhaus, 1920s, Children's Book, Swiss, Poster, Heavy</t>
  </si>
  <si>
    <t>Genius Techno</t>
  </si>
  <si>
    <t>imagens\Genius_Techno.png</t>
  </si>
  <si>
    <t>https://www.myfonts.com/pt/collections/genius-techno-font-jafar07</t>
  </si>
  <si>
    <t>Digital Font, Technology Fonts, Tech Font, Cyberpunk, Scifi, Futuristic, Modern, Technology, Sansserif, Digital, Cyber, Gaming, Ux, Startup, Branding</t>
  </si>
  <si>
    <t>Nox Eternis</t>
  </si>
  <si>
    <t>Artisticandunique</t>
  </si>
  <si>
    <t>Osman Taner Kucukgenc</t>
  </si>
  <si>
    <t>imagens\Nox_Eternis.png</t>
  </si>
  <si>
    <t>https://www.myfonts.com/pt/collections/nox-eternis-font-artisticandunique</t>
  </si>
  <si>
    <t>Sans Serif Font, Sans Serif, Web Designers, Magazine Designers, Magazine Design, Newspaper Design, Desktop Font, Sans Serif Display, Web Design, Web Development, Multilingual Supports, Multilingual, Multilingual Font, Editorial, Editorial Font, Magazine Font, Headline Font, Branding, Alternate Characters, Modern Sans Serif</t>
  </si>
  <si>
    <t>Mozze Sport</t>
  </si>
  <si>
    <t>imagens\Mozze_Sport.png</t>
  </si>
  <si>
    <t>https://www.myfonts.com/pt/collections/mozze-sport-font-bayuktx</t>
  </si>
  <si>
    <t>Magazine, Game, Automotive, Racing, Display, Logotype, Branding, Decorative, Gaming, Esport, Athletic, Sporty, Template, Energy, Title, Garage, Futuristic, Premium, Movie, Corporate</t>
  </si>
  <si>
    <t>Knight Dominion Vintage</t>
  </si>
  <si>
    <t>imagens\Knight_Dominion_Vintage.png</t>
  </si>
  <si>
    <t>https://www.myfonts.com/pt/collections/knight-dominion-vintage-font-bayuktx</t>
  </si>
  <si>
    <t>Western, Vintage, Retro, Label, Whiskey, Classic, Decorative, Tattoo, Title, Display, Branding, Handcrafted, Rodeo, Signage, Wedding, Badge, Stamp, Cowboy, Bronco, Heritage</t>
  </si>
  <si>
    <t>Cyber Motion</t>
  </si>
  <si>
    <t>imagens\Cyber_Motion.png</t>
  </si>
  <si>
    <t>https://www.myfonts.com/pt/collections/cyber-motion-font-timelesstype-studio</t>
  </si>
  <si>
    <t>Typography, Alternates, Ligature, HUD, Matrix, VR, Logo, CyberFont, SciFiFont, FuturisticFont, GamingFont, DigitalFont, TechFont, DisplayFont, ModernTech, CyberType, GeometricFont, EsportFont, NeonFont, SciFiType</t>
  </si>
  <si>
    <t>Metha</t>
  </si>
  <si>
    <t>imagens\Metha.png</t>
  </si>
  <si>
    <t>https://www.myfonts.com/pt/collections/metha-font-zeenesia-studio</t>
  </si>
  <si>
    <t>Font Duo, Condest Font, Sans Serif Font, Headline Font, Tittle Font, Magazine Font, Poster Font, Socialmedia Font, Branding Font, Product Font, Packaging Font, Web Font, Modern Font, Business Font, Fashon Font, Casual Font, Logo Type, Logo Font, Rounded Font, Sharp Font</t>
  </si>
  <si>
    <t>Quinia Retro</t>
  </si>
  <si>
    <t>imagens\Quinia_Retro.png</t>
  </si>
  <si>
    <t>https://www.myfonts.com/pt/collections/quinia-retro-font-nirmana-visual</t>
  </si>
  <si>
    <t>Playful, Foodfont, Branding, Coffeeshop, Logo, Extrude, Menu, Packaging, Sign, Retro, Vintage, Bold</t>
  </si>
  <si>
    <t>Bars</t>
  </si>
  <si>
    <t>imagens\Bars.png</t>
  </si>
  <si>
    <t>https://www.myfonts.com/pt/collections/bars-font-ikiikowrk</t>
  </si>
  <si>
    <t>Funky Font, Blocky Font, Funky, Blocky Style, Urban Typography, Hipster Font, Edgy Font, Culture Font, Funky Typography, Graffiti, Graffiti Font, Street Font, Hiphop, Rebel, Stylish</t>
  </si>
  <si>
    <t>Slizo</t>
  </si>
  <si>
    <t>imagens\Slizo.png</t>
  </si>
  <si>
    <t>https://www.myfonts.com/pt/collections/slizo-font-jafar07</t>
  </si>
  <si>
    <t>Expanded, Heavy, Geometric, Wide, Geometric Fonts, Font, Style, Urban, Branding, Stylish, Modern, Display, Typeface, Sporty, Industrial</t>
  </si>
  <si>
    <t>Bombed Sport</t>
  </si>
  <si>
    <t>imagens\Bombed_Sport.png</t>
  </si>
  <si>
    <t>https://www.myfonts.com/pt/collections/bombed-sport-font-bayuktx</t>
  </si>
  <si>
    <t>Power, Sport, Typeface, Technology, Strong, Movie, Poster, Logotype, Corporate, Futuristic, Speed, Racing, Template, Gaming, Esport, Sporty, Gym, Fitness, Boxing, Athletic</t>
  </si>
  <si>
    <t>Gravox</t>
  </si>
  <si>
    <t>imagens\Gravox.png</t>
  </si>
  <si>
    <t>https://www.myfonts.com/pt/collections/gravox-font-jafar07</t>
  </si>
  <si>
    <t>Gaming Font, Game Font, Esports, Esport, Logo Animation, Gaming, Animation, Logo, Branding, Strong, Bold, Display, Retro, Modern, Neon</t>
  </si>
  <si>
    <t>Zerrrox</t>
  </si>
  <si>
    <t>Drawwwn</t>
  </si>
  <si>
    <t>Ryan Thomas</t>
  </si>
  <si>
    <t>imagens\Zerrrox.png</t>
  </si>
  <si>
    <t>https://www.myfonts.com/pt/collections/zerrrox-font-drawwwn</t>
  </si>
  <si>
    <t>Distressed Font, Poster Font, Photocopy Texture, Photocopy Effect, Photocopier Font, Dirty Font, Fashion Font, Trendy Font, Svg Font, Xerox, Textured Font</t>
  </si>
  <si>
    <t>Hustasea</t>
  </si>
  <si>
    <t>Nov 20, 2025</t>
  </si>
  <si>
    <t>imagens\Hustasea.png</t>
  </si>
  <si>
    <t>https://www.myfonts.com/pt/collections/hustasea-font-tini-fitriani</t>
  </si>
  <si>
    <t>Serif, Display, Elegant Serif, Vintage, Nostalgic, Vintage Serif, Modern Font, Wedding Serif, Luxury, Romantic Font, Classic, Classy, Alternate, Ligature Font, Logotype, Headline, Fashion, Wedding Font, Beautiful, Stylish Font</t>
  </si>
  <si>
    <t>Blynkas Scripte</t>
  </si>
  <si>
    <t>imagens\Blynkas_Scripte.png</t>
  </si>
  <si>
    <t>https://www.myfonts.com/pt/collections/blynkas-scripte-font-letterena-studios</t>
  </si>
  <si>
    <t>Blynkas, Script, Handwritten, Cursive, Aesthetic, Smooth, Elegant, Modern, Signature, Feminine, Stylish, Flowing, Branding, Lifestyle, Calligraphy</t>
  </si>
  <si>
    <t>Merry Glow</t>
  </si>
  <si>
    <t>imagens\Merry_Glow.png</t>
  </si>
  <si>
    <t>https://www.myfonts.com/pt/collections/merry-glow-font-jafar07</t>
  </si>
  <si>
    <t>Christmas, Holiday, Festive, Serif, Vintage, Decorative, Display, Cute, Retro, Seasonal, Craft, Lettering, Joyful, Design, Typeface</t>
  </si>
  <si>
    <t>Margena</t>
  </si>
  <si>
    <t>imagens\Margena.png</t>
  </si>
  <si>
    <t>https://www.myfonts.com/pt/collections/margena-font-sensatype-studio</t>
  </si>
  <si>
    <t>Luxury Font, Sophisticated, Chic, Premium, Luxury, Italic, Serif, Font, Elegant, Stylish, Unique, Decorative, Typography, Classic, Modern, Creative</t>
  </si>
  <si>
    <t>Lenmok</t>
  </si>
  <si>
    <t>imagens\Lenmok.png</t>
  </si>
  <si>
    <t>https://www.myfonts.com/pt/collections/lenmok-font-made-deduk</t>
  </si>
  <si>
    <t>Blackletter, Victorian, Decorative, Halloween, Historical, Typography, Gothic, Horror, Logotype, Book Cover, Dark Font, Nightmare Font, Blackmetal, Deathmetal, Headline Typeface, Heavy Metal, Vintage Font, Curly Font, Wedding Font, Brutalism Font</t>
  </si>
  <si>
    <t>Darko Forrest</t>
  </si>
  <si>
    <t>imagens\Darko_Forrest.png</t>
  </si>
  <si>
    <t>https://www.myfonts.com/pt/collections/darko-forrest-font-made-deduk</t>
  </si>
  <si>
    <t>Decorative Font, Display Font, Classic Font, Elegant Font, Luxury Font, Historical Font, Victorian Font, Vintage Font, Wedding Font, Branding Font, Logotype, Ornate Font, Headline Font, Typography, Script, Bold Font, Nostalgic Font, Romance Font, Chritmas Font, Valentine Font</t>
  </si>
  <si>
    <t>Twilight Heaven</t>
  </si>
  <si>
    <t>imagens\Twilight_Heaven.png</t>
  </si>
  <si>
    <t>https://www.myfonts.com/pt/collections/twilight-heaven-font-letterena-studios</t>
  </si>
  <si>
    <t>BT Circuit</t>
  </si>
  <si>
    <t>Matthieu Dillier</t>
  </si>
  <si>
    <t>imagens\BT_Circuit.png</t>
  </si>
  <si>
    <t>https://www.myfonts.com/pt/collections/bt-circuit-font-bleifrei-type</t>
  </si>
  <si>
    <t>Sans Serif, Elegant Serif, Soft Rounded Edges, Raindrop Shapes, Traditional and Modern, Variable Font, Stylistic Alternates, Ligatures, Multilingual Support, Display Use, Editorial Typeface, Large Weight Range, Swiss Foundry, Fluid Curves, Distinct Personality, Modern Serif Design, Balanced Design, Clean and Readable, Contemporary Serif, Graphic and Branding Use</t>
  </si>
  <si>
    <t>BT Wifting</t>
  </si>
  <si>
    <t>Nam Bui</t>
  </si>
  <si>
    <t>imagens\BT_Wifting.png</t>
  </si>
  <si>
    <t>https://www.myfonts.com/pt/collections/bt-wifting-font-beautype</t>
  </si>
  <si>
    <t>Sans Serif, Modern, Luxury, Travel, Hospitality, Airlines, Elegant, Geometric, Smooth Curves</t>
  </si>
  <si>
    <t>Egluts</t>
  </si>
  <si>
    <t>imagens\Egluts.png</t>
  </si>
  <si>
    <t>https://www.myfonts.com/pt/collections/egluts-font-hasnat-studio</t>
  </si>
  <si>
    <t>Wedding Font, Premium Branding, Logo Font, Editorial Design, Magazine Font, Graceful Typeface, Stylish Lettering, Premium Design, Display Font, Luxury Editorial, Branding Font, Luxury Typeface, Polished Serif, Headline Serif, Premium Typeface, Classy Typeface, Professional Typeface, Refined Font, Serif Ligatures, Graceful Serif</t>
  </si>
  <si>
    <t>Odrifa</t>
  </si>
  <si>
    <t>imagens\Odrifa.png</t>
  </si>
  <si>
    <t>https://www.myfonts.com/pt/collections/odrifa-font-hasnat-studio</t>
  </si>
  <si>
    <t>Creative Serif, Modern Branding, Stylish Serif, Clean Serif, Premium Aesthetic, Editorial Design, Luxury Typography, Elegant Logo, Refined Proportions, Premium Visuals, Classic Design, Professional Serif, Timeless Design, Premium Logo, Elegant Headline, Premium Display, Boutique Branding, Luxury Branding, Editorial Serif, Stylish Lettering</t>
  </si>
  <si>
    <t>Cetnhi</t>
  </si>
  <si>
    <t>imagens\Cetnhi.png</t>
  </si>
  <si>
    <t>https://www.myfonts.com/pt/collections/cetnhi-font-hasnat-studio</t>
  </si>
  <si>
    <t>Creative Serif, Graceful Serif, Invitation Font, Magazine Font, Packaging Font, Branding Font, Fashion Branding, Boutique Branding, Artistic Serif, Decorative Serif, Expressive Serif, Modern Display, Serif Headline, Logo Design, Luxury Typeface, Social Media, Premium Display, Editorial Typography, Digital Branding, Editorial Serif</t>
  </si>
  <si>
    <t>Meltipop Stacked</t>
  </si>
  <si>
    <t>DM Studio</t>
  </si>
  <si>
    <t>Dimas Prasetyo</t>
  </si>
  <si>
    <t>imagens\Meltipop_Stacked.png</t>
  </si>
  <si>
    <t>https://www.myfonts.com/pt/collections/meltipop-stacked-font-dm-studio</t>
  </si>
  <si>
    <t>Meltipop Stacked Font, Stacked Bubble Font, Retro Stacked Font, Cute Stacked Font, Kawaii Headline Font, Pop Art Font, Sticker Style Font, Pastel Aesthetic Font, Kids Brand Font, Summer Party Font, Candy Shop Font, Youtube Thumbnail Font, Canva Stacked Font, Adobe Display Font, Vinyl Cutting Font, Dtg Friendly Font, Playful Logo Font, Aesthetic Poster Font, Layered Outline Font, Puffy Sticker Font</t>
  </si>
  <si>
    <t>Retro Rookie</t>
  </si>
  <si>
    <t>imagens\Retro_Rookie.png</t>
  </si>
  <si>
    <t>https://www.myfonts.com/pt/collections/retro-rookie-font-dm-studio</t>
  </si>
  <si>
    <t>Retro Cookie Font, Cute Retro Font, Bakery Font, Dessert Shop Font, Cookie Lettering, Kawaii Display Font, Pastel Aesthetic Font, Kids Party Font, Sticker Style Font, Puffy Letter Font, Vintage Bakery Font, Sweet Shop Font, Youtube Thumbnail Font, Canva Retro Font, Adobe Display Font, Vinyl Cutting Font, Dtg Friendly Font, Playful Logo Font, Aesthetic Poster Font, Candy Label Font</t>
  </si>
  <si>
    <t>Arnoira</t>
  </si>
  <si>
    <t>RahagitaType</t>
  </si>
  <si>
    <t>Setiadi Rahagita</t>
  </si>
  <si>
    <t>imagens\Arnoira.png</t>
  </si>
  <si>
    <t>https://www.myfonts.com/pt/collections/arnoira-font-rahagita-type</t>
  </si>
  <si>
    <t>Colorful, Children, Beach, Bubble, Cartoon, Chunky, Comic, Creativity, Cute, Decorative, Display, Happy, Kids, Marker, Paintbrush, Party, Fun, Logotype, Playful, Toy</t>
  </si>
  <si>
    <t>Pidangle</t>
  </si>
  <si>
    <t>imagens\Pidangle.png</t>
  </si>
  <si>
    <t>https://www.myfonts.com/pt/collections/pidangle-font-typeclassheroes</t>
  </si>
  <si>
    <t>Decorative Serif, Elegant Serif, Classy Serif, Classic Serif, Modern Serif, Luxury Serif, Historical Serif, Feminine Serif, Minimalist Serif, Victorian Serif, Display Serif, Vintage Serif, Dark Serif, Wiskey Label Font, Swashes Font, Branding Typeface, Logotype, Headline Typeface, Bold Serif, Typography</t>
  </si>
  <si>
    <t>Caluxe</t>
  </si>
  <si>
    <t>imagens\Caluxe.png</t>
  </si>
  <si>
    <t>https://www.myfonts.com/pt/collections/caluxe-font-jafar07</t>
  </si>
  <si>
    <t>Modern Bold, Modern Serif, Lavish Font, Luxury, Serif Fonts, Serif, Modern, Elegant, Bold, Classic, Stylish, Branding, Design, Wedding, Magazine</t>
  </si>
  <si>
    <t>Phyon</t>
  </si>
  <si>
    <t>imagens\Phyon.png</t>
  </si>
  <si>
    <t>https://www.myfonts.com/pt/collections/phyon-font-jafar07</t>
  </si>
  <si>
    <t>Logo 3d, Font for Logo, Luxury Logo, Modern, Futuristic, Rounded, Sans, Digital, Tech, Startup, Clean, Ui, Smooth, Elegant</t>
  </si>
  <si>
    <t>Spectrale Nightfall</t>
  </si>
  <si>
    <t>imagens\Spectrale_Nightfall.png</t>
  </si>
  <si>
    <t>https://www.myfonts.com/pt/collections/spectrale-nightfall-font-letterena-studios</t>
  </si>
  <si>
    <t>Claudia Sansbert</t>
  </si>
  <si>
    <t>imagens\Claudia_Sansbert.png</t>
  </si>
  <si>
    <t>https://www.myfonts.com/pt/collections/claudia-sansbert-font-letterhend</t>
  </si>
  <si>
    <t>Handwritten, Font Duo, Elegant Script, Oragnicsans Serif, Feminine Typography, Modern Handwritten, Romantic Design, Wedding Invitation, Natural Packaging, Cozy, Classy Design, Soft Tone, Canva Font, Cricut Font</t>
  </si>
  <si>
    <t>Gigan</t>
  </si>
  <si>
    <t>imagens\Gigan.png</t>
  </si>
  <si>
    <t>https://www.myfonts.com/pt/collections/gigan-font-sensatype-studio</t>
  </si>
  <si>
    <t>Tech Font, Tech Logo, Tech, Innovation, Technology, Logo, Font, Modern, Sleek, Futuristic, Typography, Digital, Bold, Minimal, Clean, Geometric, Contemporary</t>
  </si>
  <si>
    <t>Kanela</t>
  </si>
  <si>
    <t>imagens\Kanela.png</t>
  </si>
  <si>
    <t>https://www.myfonts.com/pt/collections/kanela-font-sensatype-studio</t>
  </si>
  <si>
    <t>Luxury, Minimal Luxury, Luxury Bold, Bold Classy, Luxury Modern, Kanela, Elegant, Font, Serif, Modern, Branding, Fashion, Editorial, Packaging, Wedding, Classy, Chic, Design, Typography</t>
  </si>
  <si>
    <t>Doksa</t>
  </si>
  <si>
    <t>Onje Studio</t>
  </si>
  <si>
    <t>Intan Driyo</t>
  </si>
  <si>
    <t>imagens\Doksa.png</t>
  </si>
  <si>
    <t>https://www.myfonts.com/pt/collections/doksa-font-onje-studio</t>
  </si>
  <si>
    <t>Blackletter, VariableFont, VariableTypeface, VariableBlackletter, Textura, Vintage, Logo, Metal, Clothing, Fashion, Magazine, Tattoo, Gothic, Modern, ModernBlackletter, Branding, Apparel, Illustration, Arts</t>
  </si>
  <si>
    <t>Olden Stones</t>
  </si>
  <si>
    <t>Letterafandi Studio</t>
  </si>
  <si>
    <t>Ahmad Afandi</t>
  </si>
  <si>
    <t>imagens\Olden_Stones.png</t>
  </si>
  <si>
    <t>https://www.myfonts.com/pt/collections/olden-stones-font-letterafandi-studio</t>
  </si>
  <si>
    <t>BlackletterFont, GothicTypeface, OldEnglishStyle, MedievalFonts, VintageTypography, DecorativeType, RetroDesign, HistoricalAesthetic, ClassicLettering, AntiqueStyle, Gothic</t>
  </si>
  <si>
    <t>Authentic Glorian</t>
  </si>
  <si>
    <t>Anxietype Foundry</t>
  </si>
  <si>
    <t>Bias Surya Buana</t>
  </si>
  <si>
    <t>imagens\Authentic_Glorian.png</t>
  </si>
  <si>
    <t>https://www.myfonts.com/pt/collections/authentic-glorian-font-anxietype-foundry</t>
  </si>
  <si>
    <t>Monoline, Semi Script, Cute, Packaging, Product, Banner, Palyful, Handwriting, Girly, Wedding, Script, Logotype, Romantic, Elegant, Thanks Giving, Farmhouse, Cursive, Fancy, Stylish, Modern</t>
  </si>
  <si>
    <t>Murisa Takao</t>
  </si>
  <si>
    <t>Murisa Studio</t>
  </si>
  <si>
    <t>Lili Sadili</t>
  </si>
  <si>
    <t>imagens\Murisa_Takao.png</t>
  </si>
  <si>
    <t>https://www.myfonts.com/pt/collections/murisa-takao-font-murisa-studio</t>
  </si>
  <si>
    <t>Murisa Takao Font, Geometric Font, Futuristic Font, Sci-fi Font, Display Typeface, Modern Typography, Sharp Angle Font, Digital Font, Tech Font, Cyberpunk Font, Eastern European Font, Multilingual Font, Bold Font, Edgy Font, Architectural Font, Luxury Font, Premium Typeface, Unique Alphabet, Stylized Letters, Branding Font</t>
  </si>
  <si>
    <t>Recipe Script</t>
  </si>
  <si>
    <t>Pedro Teixeira</t>
  </si>
  <si>
    <t>imagens\Recipe_Script.png</t>
  </si>
  <si>
    <t>https://www.myfonts.com/pt/collections/recipe-script-font-pedro-teixeira</t>
  </si>
  <si>
    <t>Handwritten Script, Casual Script, Recipe Font, Food Branding Font, Menu Font, Invitation Script, Wedding Script, Cozy Handwriting, Playful Script, Organic Handwritten, Homemade Font, Kitchen Font, Crafting Font, Cute Script, Friendly Handwriting, Modern Script, Signature Style Script, Warm Aesthetic Font, Illustrated Style Font, Small Business Branding Font</t>
  </si>
  <si>
    <t>Arseri</t>
  </si>
  <si>
    <t>Eotype</t>
  </si>
  <si>
    <t>Fajar Ramadan</t>
  </si>
  <si>
    <t>imagens\Arseri.png</t>
  </si>
  <si>
    <t>https://www.myfonts.com/pt/collections/arseri-font-eotype</t>
  </si>
  <si>
    <t>Serif Display, Elegant Serif, Luxury Font, Fashion Font, Modern Serif, High Contrast Serif, Editorial Font, Magazine Font, Classy Serif, Premium Serif, Stylish Serif, Beauty Branding Font, Upscale Typography, Branding Serif, Headline Serif, Sharp Serif, Chic Serif Font, Timeless Serif, Ligature Font, Alternate Characters</t>
  </si>
  <si>
    <t>Bulemard Suparti</t>
  </si>
  <si>
    <t>Pineungtype misinklab</t>
  </si>
  <si>
    <t>Beni Saswita</t>
  </si>
  <si>
    <t>imagens\Bulemard_Suparti.png</t>
  </si>
  <si>
    <t>https://www.myfonts.com/pt/collections/bulemard-suparti-font-pineungtype-misinklab</t>
  </si>
  <si>
    <t>Hadnwritten, Calligraphy, Modern Handwritten, Wedding, Logotype, Siganture, Modern Signature</t>
  </si>
  <si>
    <t>PN Eggnoger</t>
  </si>
  <si>
    <t>Illustration Ink</t>
  </si>
  <si>
    <t>imagens\PN_Eggnoger.png</t>
  </si>
  <si>
    <t>https://www.myfonts.com/pt/collections/pn-eggnoger-font-lettering-delights</t>
  </si>
  <si>
    <t>Christmas Tags, Tags, Script, Cursive, Hand-crafted, Crafty, Whimsical, Fun, Christmas, Christmas Font, Holidays, Noel</t>
  </si>
  <si>
    <t>Bastonia</t>
  </si>
  <si>
    <t>imagens\Bastonia.png</t>
  </si>
  <si>
    <t>https://www.myfonts.com/pt/collections/bastonia-font-inviline</t>
  </si>
  <si>
    <t>Brush, Bold, Expressive, Font, Lettering, Typography, Poster, Display, Handwritten, Logo, Branding, Strong Stroke, Brush Style, Bold Font, Street Vibe, Edgy Type, Script Font, Handmade, Grunge, Brush Calligraphy</t>
  </si>
  <si>
    <t>Ghanidra Bimotoghi</t>
  </si>
  <si>
    <t>imagens\Ghanidra_Bimotoghi.png</t>
  </si>
  <si>
    <t>https://www.myfonts.com/pt/collections/ghanidra-bimotoghi-font-pineungtype-misinklab</t>
  </si>
  <si>
    <t>Handwritten, Calligraphy, Modern Handwritten, Modern Logo, Logotype, Wedding, Cursive, Signature</t>
  </si>
  <si>
    <t>Faboulus Tintonya</t>
  </si>
  <si>
    <t>imagens\Faboulus_Tintonya.png</t>
  </si>
  <si>
    <t>https://www.myfonts.com/pt/collections/faboulus-tintonya-font-pineungtype-misinklab</t>
  </si>
  <si>
    <t>Logotype, Logo, Cursive, Signature, Calligraphy, Modern, Wedding, Invitation, Swash, Illustrations, Script, Brush, Handwritten, Typpeface, Calligraphy Font, Valentines Day Font, Handwritten Font, Wedding Font</t>
  </si>
  <si>
    <t>Candlix Heavy</t>
  </si>
  <si>
    <t>imagens\Candlix_Heavy.png</t>
  </si>
  <si>
    <t>https://www.myfonts.com/pt/collections/candlix-heavy-font-denustudio</t>
  </si>
  <si>
    <t>Blackletter, Victorian, Vintage, Tattoo, Gothic, Medieval, Music, Black Metal, Death Metal, 80s, 90s, Old English, Ornate, Underground, Merchandise, Metal, Calligraphy, Mix, Swash, Ligature</t>
  </si>
  <si>
    <t>California Graffiti</t>
  </si>
  <si>
    <t>imagens\California_Graffiti.png</t>
  </si>
  <si>
    <t>https://www.myfonts.com/pt/collections/california-graffiti-font-yoga-letter</t>
  </si>
  <si>
    <t>Christmas, Graffiti, Print, Sticker, Logo, Tattoo, Winter, Spring, Summer, Fall, Halloween, Dark, Art, Street Art, Wall Art</t>
  </si>
  <si>
    <t>Pilea</t>
  </si>
  <si>
    <t>Plantype</t>
  </si>
  <si>
    <t>Emin İmamoğlu</t>
  </si>
  <si>
    <t>imagens\Pilea.png</t>
  </si>
  <si>
    <t>https://www.myfonts.com/pt/collections/pilea-font-plantype</t>
  </si>
  <si>
    <t>Pilea, Humanist Sans, Condensed Font, Sans Serif, Variable Font, OpenType Typeface, Tapered Terminals, Clean Font, Modern Typeface, Corporate Font, Branding Font, UI Font, UX Design Font, Signage Font, Legible Font, Versatile Typeface, Elegant Font, Contemporary Font, Extended Latin Support, High Density Text</t>
  </si>
  <si>
    <t>Agretic</t>
  </si>
  <si>
    <t>imagens\Agretic.png</t>
  </si>
  <si>
    <t>https://www.myfonts.com/pt/collections/agretic-font-hasnat-studio</t>
  </si>
  <si>
    <t>Retro Serif, Classic Serif, Vintage Serif, Refined Serif, Retro Font, Editorial Font, Branding Font, Logo Font, Packaging Font, Poster Font, Magazine Font, Display Serif, Nostalgic Serif, Headline Font, Marketing Font, Retro Typeface, Bold Typeface, Branding Typeface, Timeless Serif, Premium Serif</t>
  </si>
  <si>
    <t>Retro Fluid</t>
  </si>
  <si>
    <t>imagens\Retro_Fluid.png</t>
  </si>
  <si>
    <t>https://www.myfonts.com/pt/collections/retro-fluid-font-dm-studio</t>
  </si>
  <si>
    <t>Retro Fluid Font, Liquid Retro Font, Groovy Bubble Font, 70s Display Font, 80s Display Font, Pop Art Font, Wavy Headline Font, Cute Retro Font, Pastel Aesthetic Font, Summer Party Font, Candy Shop Font, Sticker Style Font, Youtube Thumbnail Font, Canva Retro Font, Adobe Display Font, Vinyl Cutting Font, Dtg Friendly Font, Playful Logo Font, Aesthetic Poster Font, Gradient Friendly Font</t>
  </si>
  <si>
    <t>Meltipop Varsity</t>
  </si>
  <si>
    <t>imagens\Meltipop_Varsity.png</t>
  </si>
  <si>
    <t>https://www.myfonts.com/pt/collections/meltipop-varsity-font-dm-studio</t>
  </si>
  <si>
    <t>Meltipop Varsity Font, Varsity Font, College Font, Athletic Display Font, Rounded Varsity Letters, Game Day Font, Team Merch Font, Jersey Number Font, School Spirit Font, Patch Style Font, Sticker Headline Font, Canva Varsity Font, Adobe Display Font, Vinyl Cutting Font, Dtg Friendly Font, Kids Sports Font, Youtube Thumbnail Font, Banner Headline Font, Playful Varsity Font, Sporty Retro Font</t>
  </si>
  <si>
    <t>Campus Groove</t>
  </si>
  <si>
    <t>imagens\Campus_Groove.png</t>
  </si>
  <si>
    <t>https://www.myfonts.com/pt/collections/campus-groove-font-dm-studio</t>
  </si>
  <si>
    <t>Campus Groove Font, Varsity Font, College Font, Athletic Display Font, Rounded Varsity Letters, Game Day Font, Team Merch Font, Jersey Number Font, School Spirit Font, Patch Style Font, Sticker Headline Font, Canva Varsity Font, Adobe Display Font, Vinyl Cutting Font, Dtg Friendly Font, Kids Sports Font, Youtube Thumbnail Font, Banner Headline Font, Playful Varsity Font, Sporty Retro Font</t>
  </si>
  <si>
    <t>Plumpkin</t>
  </si>
  <si>
    <t>imagens\Plumpkin.png</t>
  </si>
  <si>
    <t>https://www.myfonts.com/pt/collections/plumpkin-font-dm-studio</t>
  </si>
  <si>
    <t>Plumpkin Font, Pumpkin Font, Cute Halloween Font, Fall Display Font, Spooky Cute Font, Autumn Lettering, Kids Halloween Font, Cozy Retro Font, Chunky Bubble Font, Sticker Style Font, Cricut Halloween Font, Canva Fall Font, Adobe Display Font, Vinyl Cutting Font, Dtg Friendly Font, Halloween T Shirt Font, Autumn Sign Font, Pumpkin Patch Font, Kawaii Poster Font, Rustic Fall Font</t>
  </si>
  <si>
    <t>TNSC Gemino</t>
  </si>
  <si>
    <t>The Native Saint Club</t>
  </si>
  <si>
    <t>Bagas Ferdiansah</t>
  </si>
  <si>
    <t>imagens\TNSC_Gemino.png</t>
  </si>
  <si>
    <t>https://www.myfonts.com/pt/collections/tnsc-gemino-font-the-native-saint-club</t>
  </si>
  <si>
    <t>Modern, Serif, Sans, Luxury, Elegant, Editorial, Display, Fashion, Branding, Minimalist, Premium, Ligature, Multilingual, Headline, Vintage, Classy, Stylish, Logo, Versatile, Typography</t>
  </si>
  <si>
    <t>Amberglen</t>
  </si>
  <si>
    <t>imagens\Amberglen.png</t>
  </si>
  <si>
    <t>https://www.myfonts.com/pt/collections/amberglen-font-wacaksara-co</t>
  </si>
  <si>
    <t>swash, poster, sport, food, music, retro, headline, magazine, alternates, lettering, cook, cookies, bakery, cafe, casual, brush, display, baseball, sign painting, beauty, fashion, packaging, logotype, capitals, announcement, wishlist, celebration, delicious, delight, bold script, сѓр¶рµ рµсѓс‚сњ рѕсђрёрірёрѕр°р», pancake, taga, dela, fia2019, fia2019pkg, casual script, handwritten, heading, playful, decorative, romantic</t>
  </si>
  <si>
    <t>Grace Magona</t>
  </si>
  <si>
    <t>imagens\Grace_Magona.png</t>
  </si>
  <si>
    <t>https://www.myfonts.com/pt/collections/grace-magona-font-burntilldead</t>
  </si>
  <si>
    <t>Romantic Font, Duo Font, Serif and Script Font, Elegant Font, Wedding Font, Luxury Font, Valentine Font, Feminine Font, Love Theme Font, Display Serif, Magazine, Branding, Wedding Invitation, Aesthetic, Intimate, Romance, Display Font, Editorial Font, Valentine's Day</t>
  </si>
  <si>
    <t>Smiling Zenith</t>
  </si>
  <si>
    <t>Risma Type</t>
  </si>
  <si>
    <t>Risma Mulyasari</t>
  </si>
  <si>
    <t>imagens\Smiling_Zenith.png</t>
  </si>
  <si>
    <t>https://www.myfonts.com/pt/collections/smiling-zenith-font-risma-type</t>
  </si>
  <si>
    <t>Decorative Sans Serif, Playful Sans Serif Font, Modern Decorative Font, Cute Sans Serif Typeface, Creative Display Sans Serif, Fun Headline Font, Stylish Sans Serif Design, Branding Sans Serif Font, Unique Decorative Typeface, Cheerful Display Font, Friendly Sans Serif Lettering, Contemporary Sans Serif Style, Logo Design Font, Kids Project Font, Aesthetic Sans Serif, Bold Decorative Typography, Modern Branding Typeface, Clean Decorative Sans Serif, Social Media Font, Trendy Sans Serif Font</t>
  </si>
  <si>
    <t>Poffina</t>
  </si>
  <si>
    <t>imagens\Poffina.png</t>
  </si>
  <si>
    <t>https://www.myfonts.com/pt/collections/poffina-font-jafar07</t>
  </si>
  <si>
    <t>Cute, Soft, Friendly, Cafe, Pet, Branding, Logo, Font, Digital, Smooth, Bubbly, App, Website, Ui, Cozy</t>
  </si>
  <si>
    <t>Rustem</t>
  </si>
  <si>
    <t>imagens\Rustem.png</t>
  </si>
  <si>
    <t>https://www.myfonts.com/pt/collections/rustem-font-jafar07</t>
  </si>
  <si>
    <t>Western, Country, West, Rustic, Rodeo, Logo, Modern, Cowboy, Decorative, Label, Poster, Magazine, American, Oldwest, Vintage</t>
  </si>
  <si>
    <t>Savor Whibly</t>
  </si>
  <si>
    <t>imagens\Savor_Whibly.png</t>
  </si>
  <si>
    <t>https://www.myfonts.com/pt/collections/savor-whibly-font-jafar07</t>
  </si>
  <si>
    <t>Bold Fun, Groovy, Funky, Distorted, Curve, Display, Creative, Retro, Playful, Quirky, Vintage, Soft, Thick, Visual, Headline</t>
  </si>
  <si>
    <t>Pink Ball PB</t>
  </si>
  <si>
    <t>imagens\Pink_Ball_PB.png</t>
  </si>
  <si>
    <t>https://www.myfonts.com/pt/collections/pink-ball-pb-font-pink-broccoli</t>
  </si>
  <si>
    <t>Sans-serif, Cartoon, Animated, Pink Panther, Titling, Comic, Packaging, Branding, Friendly, Playful</t>
  </si>
  <si>
    <t>Ravione Display</t>
  </si>
  <si>
    <t>imagens\Ravione_Display.png</t>
  </si>
  <si>
    <t>https://www.myfonts.com/pt/collections/ravione-display-font-typehill-studio</t>
  </si>
  <si>
    <t>Serif Display, Modern Serif, Elegant Serif, High Contrast, Luxury Font, Refined Typography, Stylish Serif, Headline Font, Title Font, Editorial Font, Magazine Font, Fashion Font, Branding Font, Logo Font, Condensed Serif, Italic Serif, Premium Typeface, Classic Modern, Sophisticated Serif, Decorative Serif</t>
  </si>
  <si>
    <t>Genetiz</t>
  </si>
  <si>
    <t>Ronny Studio</t>
  </si>
  <si>
    <t>Rony Rizki Jaya</t>
  </si>
  <si>
    <t>imagens\Genetiz.png</t>
  </si>
  <si>
    <t>https://www.myfonts.com/pt/collections/genetiz-font-ronny-studio</t>
  </si>
  <si>
    <t>Punk Font, Punk Rock Font, 90s Font, Logo, Logotype, Branding, Poster Font, Punk Typeface, Streetwear Font, Apparel Font, Cover Font, Death Metal, Metalhead Font</t>
  </si>
  <si>
    <t>Bored Trying</t>
  </si>
  <si>
    <t>Sarid Ezra</t>
  </si>
  <si>
    <t>imagens\Bored_Trying.png</t>
  </si>
  <si>
    <t>https://www.myfonts.com/pt/collections/bored-trying-font-sarid-ezra</t>
  </si>
  <si>
    <t>Fancy Fonts, Modern Fonts, Bold Fonts, Mixed, Mixed Fonts, Fashion Fonts, Vintage, Retro, Hipster Fonts, Organic, Handmade, Hand Lettering, Rough, Logotype, Display Fonts, Poster, Branding, Lettering, Camping, Magazine</t>
  </si>
  <si>
    <t>Caldavine Display</t>
  </si>
  <si>
    <t>Pointlab</t>
  </si>
  <si>
    <t>Ferdiansyah</t>
  </si>
  <si>
    <t>imagens\Caldavine_Display.png</t>
  </si>
  <si>
    <t>https://www.myfonts.com/pt/collections/caldavine-display-font-pointlab</t>
  </si>
  <si>
    <t>Anno 1960, Lexica, Technical, 1950s, Husqvarna, Xsf, Catalogs, Encyclopedia, Poster, Readable, Armenian, Organic, Architectural, Signage, Favorities, Marriage, Speed, Ligatures, Classic, Professional, Magazine, Nhg, Encyclopaedia, Family Affairs, Handmade, Dictionary, Advertisments, Anno 1995, Architect, Handwriting, Elegant, Fine, Capital Letters, Newsletters, Ink, Speedy, Anniversary, Branding, Grunge Script, Caps Only, Race, Ads, Excellent Screen, Business Cards, Cool, Newspaper, Funeral, Book, Maps, 60s, Text, Dynamic, Upper Case, Instructions, Legible, Nineties, Birthday, Hinting, Advertisment, Wedding, Informal, Building, Film Titling, Announcements, Menus, Invitation, Dictionaries, Individual, Swiss, Business Text, Headline, Catalogues, Card, Fun, Manuals, Personal, Office, Screen, Casual, Pro, Business, 1960s, Listings, Expensive</t>
  </si>
  <si>
    <t>Myrak</t>
  </si>
  <si>
    <t>Eurotypo</t>
  </si>
  <si>
    <t>Carine de Wandeleer</t>
  </si>
  <si>
    <t>imagens\Myrak.png</t>
  </si>
  <si>
    <t>https://www.myfonts.com/pt/collections/myrak-font-eurotypo</t>
  </si>
  <si>
    <t>Packaging, Stickers, Greeting Cards, Social Media Platforms, Web Design, Posters, Logotype, Lettering, Book Titles, Magazine Cover, Branding, Organic Font, Nostalgic Edge, Vintage, Script, Handmade, Classic Charm, Handcrafted Style, Retro Shapes, Personality</t>
  </si>
  <si>
    <t>Prevalent Sans Pro</t>
  </si>
  <si>
    <t>imagens\Prevalent_Sans_Pro.png</t>
  </si>
  <si>
    <t>https://www.myfonts.com/pt/collections/prevalent-sans-pro-font-uicreative</t>
  </si>
  <si>
    <t>Artdeco, Branding, Classic, Classy, Display, Font, Logo, Logotype, Modern, Nostalgic, Retro, Sans, Serif, Typography, Vintage</t>
  </si>
  <si>
    <t>Rugo Bosyla</t>
  </si>
  <si>
    <t>imagens\Rugo_Bosyla.png</t>
  </si>
  <si>
    <t>https://www.myfonts.com/pt/collections/rugo-bosyla-font-ayska</t>
  </si>
  <si>
    <t>Handwriting, Handwritten, Logo Font, Modern Font, Casual, Cursive, Wedding, Web Font, Instagram, Ligature, Branding, Chic Font, Signature, Calligraphy, Hand Lettered, Typeface, Typography, Script Font, Ideas Font, Elegant</t>
  </si>
  <si>
    <t>Wild Streets Graffiti</t>
  </si>
  <si>
    <t>Tomatstudio</t>
  </si>
  <si>
    <t>Cipto Bagus Prakarso</t>
  </si>
  <si>
    <t>imagens\Wild_Streets_Graffiti.png</t>
  </si>
  <si>
    <t>https://www.myfonts.com/pt/collections/wild-streets-graffiti-font-tomatstudio</t>
  </si>
  <si>
    <t>Graffiti, Graffiti Fonts, Wildstyle, Wildstyle Graffiti, Realistic Graffiti, Fonts, Street Art, Vandal, Wall, Graffiti Font, Trane, Hip-hop, Street</t>
  </si>
  <si>
    <t>Geralts</t>
  </si>
  <si>
    <t>imagens\Geralts.png</t>
  </si>
  <si>
    <t>https://www.myfonts.com/pt/collections/geralts-font-fikryal</t>
  </si>
  <si>
    <t>Posters, Headlines, Logo, Branding Identity, Magazine Layouts, Movie Titles, Packaging Design, Modern Advertising, Social Media Graphics, Geralts Font, Condensed, Strong Headline Font, Clean Condensed Typeface, Branding Condensed Font, Poster Display Font</t>
  </si>
  <si>
    <t>Big Berry</t>
  </si>
  <si>
    <t>Slidehack</t>
  </si>
  <si>
    <t>Excellent Ritma Florendia</t>
  </si>
  <si>
    <t>imagens\Big_Berry.png</t>
  </si>
  <si>
    <t>https://www.myfonts.com/pt/collections/big-berry-font-slidehack</t>
  </si>
  <si>
    <t>Bubble, Chunky, Cute, Fun, Pet, Playful, Bold, Rounded, Kids, Cartoon, Display, Creative, Modern, Cheerful, Headline, Font</t>
  </si>
  <si>
    <t>Little Farm Truck</t>
  </si>
  <si>
    <t>Epiclinez</t>
  </si>
  <si>
    <t>Aldy Sidik</t>
  </si>
  <si>
    <t>imagens\Little_Farm_Truck.png</t>
  </si>
  <si>
    <t>https://www.myfonts.com/pt/collections/little-farm-truck-font-epiclinez</t>
  </si>
  <si>
    <t>Cute Display Font, Farm Font, Kids Font, Playful Display Font, Bubbly Bold Font, Country Font, Rustic Cute Font, Children’s Book Font, Farm Truck Font, Fun Cartoon Font, Barnyard Font, Bold Playful Font, Adorable Display Font, Countryside Font, Handmade Display Font, Logo Font Playful, Product Packaging Font, Cute Bold Font, Kid-friendly Font</t>
  </si>
  <si>
    <t>Retro Glow</t>
  </si>
  <si>
    <t>imagens\Retro_Glow.png</t>
  </si>
  <si>
    <t>https://www.myfonts.com/pt/collections/retro-glow-font-dm-studio</t>
  </si>
  <si>
    <t>Retro Glow Font, Neon Retro Font, Synthwave Font, 80s Display Font, Vaporwave Font, Arcade Title Font, Cyberpunk Poster Font, Glow Effect Font, Chrome Text Font, Grid Background Font, Youtube Thumbnail Font, Dj Logo Font, Streamer Overlay Font, Canva Retro Font, Adobe Display Font, Vinyl Cutting Font, Poster Headline Font, Electric Neon Font, Retro Gradient Font, Nightlife Flyer Font</t>
  </si>
  <si>
    <t>Aroma Vintage</t>
  </si>
  <si>
    <t>imagens\Aroma_Vintage.png</t>
  </si>
  <si>
    <t>https://www.myfonts.com/pt/collections/aroma-vintage-font-timelesstype-studio</t>
  </si>
  <si>
    <t>Aroma, Vintage, Retro, Serif, Display, Bold, Nostalgic, Playful, Decorative, Expressive, Branding, Packaging, Editorial, Curves, Classic, Display Serif, Handcrafted</t>
  </si>
  <si>
    <t>Masking Renta</t>
  </si>
  <si>
    <t>imagens\Masking_Renta.png</t>
  </si>
  <si>
    <t>https://www.myfonts.com/pt/collections/masking-renta-font-risma-type</t>
  </si>
  <si>
    <t>Serif Font, Display Typeface, Elegant Serif, Modern Serif, Luxury Font, Branding Typeface, Logo Font, Headline Font, Editorial Serif, Classy Typeface, Premium Font, Vintage Serif, Stylish Serif, Fashion Typography, Minimalist Serif, Bold Display Font, Professional Typeface, Clean Serif, Creative Font, Decorative Serif</t>
  </si>
  <si>
    <t>AT Geletak</t>
  </si>
  <si>
    <t>ArimaType</t>
  </si>
  <si>
    <t>Amri Mauludin</t>
  </si>
  <si>
    <t>imagens\AT_Geletak.png</t>
  </si>
  <si>
    <t>https://www.myfonts.com/pt/collections/at-geletak-font-arimatype</t>
  </si>
  <si>
    <t>Sans Serif, Display Sans, Geometric Sans, Corporate Font, Modern Sans, Branding Font, Strong Typography, Bold Identity, Angular Sans, Packaging Font, Headline Font, Magazine Font, Book Cover Font, Film Poster Font, Tech Font, Minimalist Sans, Contemporary Font, Clean Display, Editorial Sans, Logo Typeface</t>
  </si>
  <si>
    <t>GC Conrode</t>
  </si>
  <si>
    <t>imagens\GC_Conrode.png</t>
  </si>
  <si>
    <t>https://www.myfonts.com/pt/collections/gc-conrode-font-onyx-studio</t>
  </si>
  <si>
    <t>Monta Grande</t>
  </si>
  <si>
    <t>Agny Hasya Studio</t>
  </si>
  <si>
    <t>Firman Maulana</t>
  </si>
  <si>
    <t>imagens\Monta_Grande.png</t>
  </si>
  <si>
    <t>https://www.myfonts.com/pt/collections/monta-grande-font-agny-hasya-studio</t>
  </si>
  <si>
    <t>Rough, Stamp, Bold, Stamped, Font, Display, Lettering, Handlettering, Handwritten, Textured, Brand, Design, Grunge, Vintage, Rustic, Branding, Logotype, Sans-serif, Hipster, Poster</t>
  </si>
  <si>
    <t>Augelia Riletha</t>
  </si>
  <si>
    <t>imagens\Augelia_Riletha.png</t>
  </si>
  <si>
    <t>https://www.myfonts.com/pt/collections/augelia-riletha-font-pineungtype-misinklab</t>
  </si>
  <si>
    <t>Display Handwritten, Modern Display, Calligraphy, Logotype</t>
  </si>
  <si>
    <t>Caghnier</t>
  </si>
  <si>
    <t>Ergibi Studio</t>
  </si>
  <si>
    <t>Riyadh Rahman</t>
  </si>
  <si>
    <t>imagens\Caghnier.png</t>
  </si>
  <si>
    <t>https://www.myfonts.com/pt/collections/caghnier-font-ergibi-studio</t>
  </si>
  <si>
    <t>Serif Font, Display Font, Stylish, Branding, Ornament, Swash, Fashion, Bold, Trendy, Headline, Logotype</t>
  </si>
  <si>
    <t>Modim</t>
  </si>
  <si>
    <t>imagens\Modim.png</t>
  </si>
  <si>
    <t>https://www.myfonts.com/pt/collections/modim-font-koplexs-studio</t>
  </si>
  <si>
    <t>Bubble, Rounded, Playful, Fun, Cute, Cartoon, Comic, Friendly, Chunky, Puffy, Kid-friendly, Headline, Logo Font, Branding, Poster Font, Game Font, Modern, Poster, Packaging, Bold</t>
  </si>
  <si>
    <t>Chunky Sundae</t>
  </si>
  <si>
    <t>Jinan Studio</t>
  </si>
  <si>
    <t>Andi Syahdang</t>
  </si>
  <si>
    <t>imagens\Chunky_Sundae.png</t>
  </si>
  <si>
    <t>https://www.myfonts.com/pt/collections/chunky-sundae-font-jinan-studio</t>
  </si>
  <si>
    <t>Chunky Font, Bold Display Font, Retro Display Font, Food Font, Ice Cream Font, Playful Font, Cartoon Font, Vintage Font, Cute Display Font, Thick Font, Fun Headline Font, Kids Font, Food Branding Font, Dessert Font, Mascot Font, Rounded Display Font, Quirky Font, Bubble Font, Poster Font, Packaging Font</t>
  </si>
  <si>
    <t>AH Hakushu School PRS</t>
  </si>
  <si>
    <t>AH Hakushu Handwritten Font</t>
  </si>
  <si>
    <t>Caltine Guadi</t>
  </si>
  <si>
    <t>imagens\Caltine_Guadi.png</t>
  </si>
  <si>
    <t>https://www.myfonts.com/pt/collections/caltine-guadi-font-maikohatta</t>
  </si>
  <si>
    <t>Font, Serif, Display, Modern, Elegant, Luxury, Magazine, Bold, Fashion, Branding, Logo, Typeface</t>
  </si>
  <si>
    <t>Nofran</t>
  </si>
  <si>
    <t>imagens\Nofran.png</t>
  </si>
  <si>
    <t>https://www.myfonts.com/pt/collections/nofran-font-maikohatta</t>
  </si>
  <si>
    <t>Font, Sans Serif, Modern, Neo Grotesk, Geometric, Clean, Typeface, Branding, Logo, Dispay, Display, Bold</t>
  </si>
  <si>
    <t>Day Coast</t>
  </si>
  <si>
    <t>Coasta</t>
  </si>
  <si>
    <t>imagens\Day_Coast.png</t>
  </si>
  <si>
    <t>https://www.myfonts.com/pt/collections/day-coast-font-coasta</t>
  </si>
  <si>
    <t>Surfing, Surf, Coastal, Outdoor, Ocean, Display, Bold, Grunge, Chunky, Retro, Texture, Vintage, Beach, Handmade, Rugged, Typography, Adventure, Poster</t>
  </si>
  <si>
    <t>Bined</t>
  </si>
  <si>
    <t>imagens\Bined.png</t>
  </si>
  <si>
    <t>https://www.myfonts.com/pt/collections/bined-font-maikohatta</t>
  </si>
  <si>
    <t>Font, Sans Serif, Style, Bold, Retro, Classic, Display, Vintage, Logo, Poster, Branding, Geometric</t>
  </si>
  <si>
    <t>Rownet</t>
  </si>
  <si>
    <t>imagens\Rownet.png</t>
  </si>
  <si>
    <t>https://www.myfonts.com/pt/collections/rownet-font-limitype</t>
  </si>
  <si>
    <t>Bold, Rounded, Bubbly, Chubby, Playful, Fun, Soft, Cheerful, Cute, Sweet, Friendly, Bubble, Display, Modern, Aesthetic, Cartoon, Kids, Food, Branding, Packaging</t>
  </si>
  <si>
    <t>TT Turns</t>
  </si>
  <si>
    <t>TypeType Team</t>
  </si>
  <si>
    <t>Ivan Gladkikh</t>
  </si>
  <si>
    <t>Nov 24, 2025</t>
  </si>
  <si>
    <t>imagens\TT_Turns.png</t>
  </si>
  <si>
    <t>https://www.myfonts.com/pt/collections/tt-turns-font-typetype</t>
  </si>
  <si>
    <t>Sans, Grotesque, Display, Text, Headline, UI UX, Packaging, Variable, Modern, Strong</t>
  </si>
  <si>
    <t>Jorde Extended</t>
  </si>
  <si>
    <t>imagens\Jorde_Extended.png</t>
  </si>
  <si>
    <t>https://www.myfonts.com/pt/collections/jorde-extended-font-multype-studio</t>
  </si>
  <si>
    <t>Expanded Sans Serif Font, Wide Display Typeface, Bold Expanded Font, Modern Wide Sans Font, Extended Geometric Typeface, Futuristic Expanded Display, Strong Wide Headline Font, Modern Bold Extended Typeface, Stretched Sans Serif Display, Wide Sporty Typography, Racing Font, Sport Display Font, Speed Logo Typeface, Modern Athletic Font, Dynamic Sans Serif, Motorsport Branding Font, Bold Racing Typography, Performance Display Typeface, Fast Modern Font, Aggressive Sport Headline Font</t>
  </si>
  <si>
    <t>Stickers History</t>
  </si>
  <si>
    <t>Nov 25, 2025</t>
  </si>
  <si>
    <t>imagens\Stickers_History.png</t>
  </si>
  <si>
    <t>https://www.myfonts.com/pt/collections/stickers-history-font-letterena-studios</t>
  </si>
  <si>
    <t>Bratva</t>
  </si>
  <si>
    <t>imagens\Bratva.png</t>
  </si>
  <si>
    <t>https://www.myfonts.com/pt/collections/bratva-font-adam-fathony</t>
  </si>
  <si>
    <t>Modern, Sans, Blocky, Tall, Narrow, Variable, Strong, Strength, Upright, Slanted, Urban, Strong Typeface, Heavy, Bold, Power, Energic, Fast, Energetic, Heavy Display, Contemporary</t>
  </si>
  <si>
    <t>Decophile</t>
  </si>
  <si>
    <t>Firstype Studio</t>
  </si>
  <si>
    <t>Adrian Syauqi</t>
  </si>
  <si>
    <t>imagens\Decophile.png</t>
  </si>
  <si>
    <t>https://www.myfonts.com/pt/collections/decophile-font-firstype-studio</t>
  </si>
  <si>
    <t>Elegant Serif, Modern Serif, Display Font, Luxury Typography, Editorial Font, Classic Typeface, Magazine Font, High Contrast Serif, Timeless Design, Branding Font, Logo Typeface, Fashion Font, Elegant Branding, Sophisticated Style, Headline Serif, Stylish Typography, Modern Classic Font, Serif Typeface, Premium Font, Fine Print Font</t>
  </si>
  <si>
    <t>Itinera</t>
  </si>
  <si>
    <t>imagens\Itinera.png</t>
  </si>
  <si>
    <t>https://www.myfonts.com/pt/collections/itinera-font-octotypo</t>
  </si>
  <si>
    <t>Sans Serif, Geometric, Humanist, Signage, Wayfinding, Display, Text, Modern, Vintage, French, Legible, Contemporary, Editorial, Branding, Clean, Versatile, Professional, Corporate, Transportation, Poster</t>
  </si>
  <si>
    <t>Brivonne Royale</t>
  </si>
  <si>
    <t>imagens\Brivonne_Royale.png</t>
  </si>
  <si>
    <t>https://www.myfonts.com/pt/collections/brivonne-royale-font-zaain-type</t>
  </si>
  <si>
    <t>Advertising, Book, Branding, Business, Casual, Decorative, Display, Elegant, Fashion, Headline, Logo, Magazine, Social Media, Stylist, Title, Web Font, Packaging, Clothing, Stylish, Beautiful</t>
  </si>
  <si>
    <t>Flowsky</t>
  </si>
  <si>
    <t>imagens\Flowsky.png</t>
  </si>
  <si>
    <t>https://www.myfonts.com/pt/collections/flowsky-font-zeenesia-studio</t>
  </si>
  <si>
    <t>Serif, Modern, Classic, Elegant, Logo, Branding, Packaging, Social Media, Web Font, Editorial Font, Font Duo, Italic, Product, Poster, Fashion, Logo Type, Business, Magazine, Cover, Headline</t>
  </si>
  <si>
    <t>Balenia</t>
  </si>
  <si>
    <t>imagens\Balenia.png</t>
  </si>
  <si>
    <t>https://www.myfonts.com/pt/collections/balenia-font-vermilione</t>
  </si>
  <si>
    <t>Modern Font, Elegant Font, Timeless Font, Luxury Font, Branding Font, Logo Font, Stylish Font, Aesthetic Font, Creative Font, Typeface, Beauty Font, Fashion Font, Modern, Elegant, Luxury, Branding, Stylish, Classy Font, Classy, Logo</t>
  </si>
  <si>
    <t>Sonas</t>
  </si>
  <si>
    <t>designoMatt</t>
  </si>
  <si>
    <t>Matthew Gallagher</t>
  </si>
  <si>
    <t>imagens\Sonas.png</t>
  </si>
  <si>
    <t>https://www.myfonts.com/pt/collections/sonas-font-designomatt</t>
  </si>
  <si>
    <t>Modern, Display, Grotesk, Technical, Linear, Modest, Neutral, Clean, Decorative, Industrial, Casual, Sans-serif, Early 20th Century, Friendly, Geometric, Legibility, Clarity, Elegance, Professional</t>
  </si>
  <si>
    <t>Zussel</t>
  </si>
  <si>
    <t>imagens\Zussel.png</t>
  </si>
  <si>
    <t>https://www.myfonts.com/pt/collections/zussel-font-denustudio</t>
  </si>
  <si>
    <t>Blackletter, Victorian, Vintage, Tattoo, Gothic, Medieval, Music, Black Metal, Death Metal, 80s, 90s, Old English, Ornate, Ornamental, Underground, Edgy, Merchandise, Metal, Calligraphy, Swash</t>
  </si>
  <si>
    <t>Coffee Amore</t>
  </si>
  <si>
    <t>imagens\Coffee_Amore.png</t>
  </si>
  <si>
    <t>https://www.myfonts.com/pt/collections/coffee-amore-font-basnistudio</t>
  </si>
  <si>
    <t>Handwritten, Handwritting, Lettering, Brush, Ballpen, Typography, Kids, Fun, Playfull</t>
  </si>
  <si>
    <t>Karmically</t>
  </si>
  <si>
    <t>imagens\Karmically.png</t>
  </si>
  <si>
    <t>https://www.myfonts.com/pt/collections/karmically-font-tini-fitriani</t>
  </si>
  <si>
    <t>Script, Handwritting, Retro, Vintage, Nostalgic, Romantic Font, Vintage Script, Classic, Summer, Wedding, Beauty Font, Beautiful Font, Luxury, Fancy, Typography, Whimsical, Logo, Unique, Cursive</t>
  </si>
  <si>
    <t>Rustling Kingdom</t>
  </si>
  <si>
    <t>imagens\Rustling_Kingdom.png</t>
  </si>
  <si>
    <t>https://www.myfonts.com/pt/collections/rustling-kingdom-font-letterena-studios</t>
  </si>
  <si>
    <t>Display Serif, Serif Premium, Branding, Elegant, Font, Modern, Casual, Photography, Visual, Card, Signature, Wedding, Script, Calligraphy, Fashion, Logo</t>
  </si>
  <si>
    <t>Raven Clave</t>
  </si>
  <si>
    <t>imagens\Raven_Clave.png</t>
  </si>
  <si>
    <t>https://www.myfonts.com/pt/collections/raven-clave-font-valorix-studio</t>
  </si>
  <si>
    <t>Display, Old English, Textura, Blackletter, Gothic, Tatoo, Fantasy, Decorative, Heavy</t>
  </si>
  <si>
    <t>MC Torkias Jole</t>
  </si>
  <si>
    <t>imagens\MC_Torkias_Jole.png</t>
  </si>
  <si>
    <t>https://www.myfonts.com/pt/collections/mc-torkias-jole-font-maulana-creative</t>
  </si>
  <si>
    <t>New Serif, Vintage Style, Elegant Font, Luxury Branding, Display Typeface, Tattoo Lettering, Fashion Font, High Contrast, Decorative Swash, Modern Elegance, Classic Typography, Bold Serif, Tall Font, Artistic Design, Custom Logotype, Retro Revival, Wedding Invite, Editorial Use, Poster Font, Creative Project</t>
  </si>
  <si>
    <t>Cafe Autentico</t>
  </si>
  <si>
    <t>Fat Hamster</t>
  </si>
  <si>
    <t>Alesia Kutsian</t>
  </si>
  <si>
    <t>imagens\Cafe_Autentico.png</t>
  </si>
  <si>
    <t>https://www.myfonts.com/pt/collections/cafe-autentico-font-fat-hamster</t>
  </si>
  <si>
    <t>Font, Type, Typeface, Display, Sans Serif, Handwritten, Hand Made, Cafe, Bakery, Cozy, Southwestern, Western, Rustic, Organic, Coffee, Menu, Logo, Branding, Packaging, Vintage</t>
  </si>
  <si>
    <t>Gaqrob</t>
  </si>
  <si>
    <t>imagens\Gaqrob.png</t>
  </si>
  <si>
    <t>https://www.myfonts.com/pt/collections/gaqrob-font-hasnat-studio</t>
  </si>
  <si>
    <t>Headline Font, Title Font, Packaging Font, Menu Font, Fine Dining, Aesthetic Serif, Romantic Serif, Feminine Serif, Invitation Font, Boutique Font, Branding Font, Logo Font, Editorial Font, Magazine Font, Wedding Font, Decorative Serif, Swash Serif, Social Media, Digital Font, Elegant Swashes</t>
  </si>
  <si>
    <t>Bloomite Sans</t>
  </si>
  <si>
    <t>Ghozai Studio</t>
  </si>
  <si>
    <t>Manzur Ghozaali</t>
  </si>
  <si>
    <t>imagens\Bloomite_Sans.png</t>
  </si>
  <si>
    <t>https://www.myfonts.com/pt/collections/bloomite-sans-font-ghozai-studio</t>
  </si>
  <si>
    <t>Sans, Complete Family, Font Family, Corporate, Branding, Headline, Thin, Black, Poster, Billboard</t>
  </si>
  <si>
    <t>Fegoriz</t>
  </si>
  <si>
    <t>Yohanes Oktav</t>
  </si>
  <si>
    <t>Yohanes Oktavianus Aang</t>
  </si>
  <si>
    <t>imagens\Fegoriz.png</t>
  </si>
  <si>
    <t>https://www.myfonts.com/pt/collections/fegoriz-font-yohanes-oktav</t>
  </si>
  <si>
    <t>Futuristic Display, Sci Fi Font, Techno Style, Cyber Typeface, Modern Display, Angular Letters, Geometric Sci Fi, Space Themed, Gaming Title Font, High Tech Font, Sci Fi Branding, Sleek Display, Digital Interface Font, Sharp Geometry, Sci Fi Headline, Tech Aesthetic, Modern Sci Fi, Bold Futuristic, Sci Fi Logo Font, Fegoriz</t>
  </si>
  <si>
    <t>Hello Lazy</t>
  </si>
  <si>
    <t>imagens\Hello_Lazy.png</t>
  </si>
  <si>
    <t>https://www.myfonts.com/pt/collections/hello-lazy-font-letterafandi-studio</t>
  </si>
  <si>
    <t>PlayfulFont, DisplayTypeface, HandDrawnStyle, BoldLetters, CreativeTypography, FunBranding, KidsDesign, WhimsicalFont, UniqueDisplayFont, CasualAesthetic</t>
  </si>
  <si>
    <t>TRT Lancelot</t>
  </si>
  <si>
    <t>imagens\TRT_Lancelot.png</t>
  </si>
  <si>
    <t>https://www.myfonts.com/pt/collections/trt-lancelot-font-true-type-lab</t>
  </si>
  <si>
    <t>Condensed Font, Inktrap Typeface, Modern Condensed, Display Sans, Thin To Extra Bold, High Contrast Sans, Branding Typeface, Editorial Display, Contemporary Sans, Unique Inktrap, Modern Typography, Creative Headline Font, Compact Typeface, Versatile Font Family, Graphic Design Font, Poster Typeface, Strong Visual Identity, Innovative Sans, Clean Condensed, Bold Display Font</t>
  </si>
  <si>
    <t>Tropical Doodle</t>
  </si>
  <si>
    <t>imagens\Tropical_Doodle.png</t>
  </si>
  <si>
    <t>https://www.myfonts.com/pt/collections/tropical-doodle-font-cocodesign</t>
  </si>
  <si>
    <t>Tropical Doodle, Summer Font, Beach Font, Doodle Font, Playful Font, Hand Drawn, Hand Drawn Font, Kids Font, Cute Font, Coastal Font, Surf Font, Travel Font, Summer Vibes, Beach Vibes, Line Art, Doodle Elements, Palm Tree, Surf Van</t>
  </si>
  <si>
    <t>Skyfire Nightfall</t>
  </si>
  <si>
    <t>imagens\Skyfire_Nightfall.png</t>
  </si>
  <si>
    <t>https://www.myfonts.com/pt/collections/skyfire-nightfall-font-letterena-studios</t>
  </si>
  <si>
    <t>Shequan Soft</t>
  </si>
  <si>
    <t>imagens\Shequan_Soft.png</t>
  </si>
  <si>
    <t>https://www.myfonts.com/pt/collections/shequan-soft-font-propertype</t>
  </si>
  <si>
    <t>Shequan Font, Modern Serif Font, Elegant Serif Typeface, Classic Serif Font, Editorial Serif, Luxury Serif Font, Display Serif, Refined Serif Typeface, Serif Font With Ligatures, Multilingual Serif Font, 7 Weights Font Family, 5 Widths Font, Variable-width Serif, Serif With Italics, Font Family 140 Styles, Serif Typeface With Forms, Soft Serif, High Contrast Serif</t>
  </si>
  <si>
    <t>Matilira</t>
  </si>
  <si>
    <t>imagens\Matilira.png</t>
  </si>
  <si>
    <t>https://www.myfonts.com/pt/collections/matilira-font-marvadesign</t>
  </si>
  <si>
    <t>Retro, Heritage, Bold, Website, Logo, Poster, Typography, Headline, High Contrast, Cover Book, Old, Lettering, Vintage, Tall, Classic, Product, Decorative, Display, Serif, Fashion</t>
  </si>
  <si>
    <t>Holistic Retro</t>
  </si>
  <si>
    <t>Salamahtype</t>
  </si>
  <si>
    <t>Aswangga Sadike</t>
  </si>
  <si>
    <t>imagens\Holistic_Retro.png</t>
  </si>
  <si>
    <t>https://www.myfonts.com/pt/collections/holistic-retro-font-salamahtype</t>
  </si>
  <si>
    <t>fancy, invitation, rough, cute, retro, organic, natural, magazine, ink, pen, swirls, handmade, watercolor, photography, writing, pretty, brush, hand-drawn, new year, trendy, fashion, brush script, hand lettered, painted, hand lettering, fun font, modern script, logotypes, quotes, wedding font, handwriting font, modern calligraphy, gipsy, font duo, cursive font, lettering font, textures, hand drawn font, love font, casual script, handwritten, heading, playful, decorative, romantic, casual, handwriting, love, fun, lettering, cursive, wedding, hand drawn</t>
  </si>
  <si>
    <t>Rev Blade</t>
  </si>
  <si>
    <t>imagens\Rev_Blade.png</t>
  </si>
  <si>
    <t>https://www.myfonts.com/pt/collections/rev-blade-font-yohanes-oktav</t>
  </si>
  <si>
    <t>Sport Display Font, Aggressive Typeface, Motorsport Design, Racing Font, E-sport Typography, High Octane Speed, Angular Sharp Text, Action Game Title, Bold Heavy Display, Competitive Branding, Extreme Sports Font, Motorcycle Apparel, Logo Headline Font, Masculine Strong, Techno Sci-fi Look, Dynamic Kinetic, Motocross Poster, Dominant Visual, Advanced Geometry, Fierce Sharp Edges</t>
  </si>
  <si>
    <t>Lucylane</t>
  </si>
  <si>
    <t>imagens\Lucylane.png</t>
  </si>
  <si>
    <t>https://www.myfonts.com/pt/collections/lucylane-font-craft-supply-co</t>
  </si>
  <si>
    <t>Cursive, Poster, Branding, Logo, Elegant, Typeface, Typography, Feminine, Ligature, Wedding, Invitation, Chic, Minimalist, Trendy, Quotes</t>
  </si>
  <si>
    <t>Maison De Artisan</t>
  </si>
  <si>
    <t>imagens\Maison_De_Artisan.png</t>
  </si>
  <si>
    <t>https://www.myfonts.com/pt/collections/maison-de-artisan-font-craft-supply-co</t>
  </si>
  <si>
    <t>Poster, Branding, Minimalist, Elegant, Title, Logo, Typeface, Typography, Feminine, Greeting Card, Magazine, Hybrid Font, Readable, Business</t>
  </si>
  <si>
    <t>Lovalina</t>
  </si>
  <si>
    <t>imagens\Lovalina.png</t>
  </si>
  <si>
    <t>https://www.myfonts.com/pt/collections/lovalina-font-craft-supply-co</t>
  </si>
  <si>
    <t>Elegant, Poster, Branding, Minimalist, Logo, Typeface, Typography, Modern, Greeting Card, Quotes, Title, Header, Chic, Beauty, Feminine, Girly</t>
  </si>
  <si>
    <t>Egmond Rough</t>
  </si>
  <si>
    <t>imagens\Egmond_Rough.png</t>
  </si>
  <si>
    <t>https://www.myfonts.com/pt/collections/egmond-rough-font-craft-supply-co</t>
  </si>
  <si>
    <t>Versatile, Rough, Poster, Branding, Logo, Headline, Title, Editorial, Eroded, Vintage, Textured</t>
  </si>
  <si>
    <t>Infinites Flame</t>
  </si>
  <si>
    <t>imagens\Infinites_Flame.png</t>
  </si>
  <si>
    <t>https://www.myfonts.com/pt/collections/infinites-flame-font-letterena-studios</t>
  </si>
  <si>
    <t>Typography, Ligature, Alternates, BrushFont, ScriptFont, RetroFont, VintageFont, Logo, Branding, Poster, CreativeFont, ArtisticType, HandmadeFont, TexturedType, OrganicBrush, BoldScript, QuoteFont, AestheticFont, RetroScript, BrushType</t>
  </si>
  <si>
    <t>Shelter Natural</t>
  </si>
  <si>
    <t>imagens\Shelter_Natural.png</t>
  </si>
  <si>
    <t>https://www.myfonts.com/pt/collections/shelter-natural-font-stylishtype-studio</t>
  </si>
  <si>
    <t>Typography, Ligature, Alternates, ScriptFont, HandwrittenFont, Logo, Branding, Wedding, FeminineFont, OrganicType, SignatureType, SmoothScript, CreativeFont, ModernScript, WarmType, AestheticFont, CasualScript, FlowingType, RomanticFont, QuoteFont</t>
  </si>
  <si>
    <t>Travelast Wander</t>
  </si>
  <si>
    <t>imagens\Travelast_Wander.png</t>
  </si>
  <si>
    <t>https://www.myfonts.com/pt/collections/travelast-wander-font-letterena-studios</t>
  </si>
  <si>
    <t>Qeilgera</t>
  </si>
  <si>
    <t>imagens\Qeilgera.png</t>
  </si>
  <si>
    <t>https://www.myfonts.com/pt/collections/qeilgera-font-timelesstype-studio</t>
  </si>
  <si>
    <t>Typography, Ligature, Alternates, Branding, Logo, Magazine, Deluxe, LuxuryFont, ClassicSerif, ModernSerif, ElegantType, PremiumFont, EditorialFont, OrnateFont, ArtisticType, Couture, AestheticFont, HeritageType, DecorativeFont, RefinedFont</t>
  </si>
  <si>
    <t>Logam</t>
  </si>
  <si>
    <t>imagens\Logam.png</t>
  </si>
  <si>
    <t>https://www.myfonts.com/pt/collections/logam-font-craft-supply-co</t>
  </si>
  <si>
    <t>Sans Serif, Clean, Luxury, Legible, Readable, Branding, Poster, Typeface, Typography, Trendy, Quotes, Greeting Card, Magazine, Business, Logo, Modern</t>
  </si>
  <si>
    <t>Esquie Type VF</t>
  </si>
  <si>
    <t>Nov 27, 2025</t>
  </si>
  <si>
    <t>imagens\Esquie_Type_VF.png</t>
  </si>
  <si>
    <t>https://www.myfonts.com/pt/collections/esquie-type-vf-font-vp-creative-shop</t>
  </si>
  <si>
    <t>Display, Variable Font, All Caps, Serif, Sans Serif, Transitional, High Contrast, Elegant, Modern, Refined, Luxury, Editorial, Logo, Branding, Packaging, Magazine, Book Cover, Headline, Poster, Fashion</t>
  </si>
  <si>
    <t>Rosaline La Couture Duo</t>
  </si>
  <si>
    <t>HKL Studio</t>
  </si>
  <si>
    <t>T Haikal Budillah</t>
  </si>
  <si>
    <t>imagens\Rosaline_La_Couture_Duo.png</t>
  </si>
  <si>
    <t>https://www.myfonts.com/pt/collections/rosaline-la-couture-duo-font-hkl-studio</t>
  </si>
  <si>
    <t>Font, Handwritten Fonts, Handwriting, Ligatures, Wedding Font, Wedding Logo, Stylish Font, Stylish Logo, Logo Font, Lovely Font, Chic Font, Elegant Font, Script Font, Cursive Font, Modern Signature Font, Wet Ink Font, Collection Font, Photo Font, Minimalist Font</t>
  </si>
  <si>
    <t>Velion Variable</t>
  </si>
  <si>
    <t>Kaidosan</t>
  </si>
  <si>
    <t>Muhammad Ansari</t>
  </si>
  <si>
    <t>imagens\Velion_Variable.png</t>
  </si>
  <si>
    <t>https://www.myfonts.com/pt/collections/velion-variable-font-kaidosan</t>
  </si>
  <si>
    <t>Modern Sans Serif, Variable Font, Geometric Typeface, Minimalist Font, Clean Sans, Contemporary Typography, Display Font, Branding Typeface, Logo Font, Editorial Design, UI UX Typeface, Digital Typeface, Professional Sans, Corporate Font, Elegant Sans Serif, Futuristic Font, Tech Branding, Strong Headline Font, Versatile Typeface, Premium Modern Font</t>
  </si>
  <si>
    <t>Prostetrix</t>
  </si>
  <si>
    <t>imagens\Prostetrix.png</t>
  </si>
  <si>
    <t>https://www.myfonts.com/pt/collections/prostetrix-font-tini-fitriani</t>
  </si>
  <si>
    <t>Serif, Display, Elegant Serif, Retro, Vintage, Modern Font, Wedding Serif, Luxury, Classic, Alternate, Ligature Font, Logotype, Headline, Fashion, Elegant, Quote, Invitation Font, Stylish Font, Branding, Glamour</t>
  </si>
  <si>
    <t>Highland Soonbeam</t>
  </si>
  <si>
    <t>imagens\Highland_Soonbeam.png</t>
  </si>
  <si>
    <t>https://www.myfonts.com/pt/collections/highland-soonbeam-font-letterena-studios</t>
  </si>
  <si>
    <t>Diagonalalley</t>
  </si>
  <si>
    <t>imagens\Diagonalalley.png</t>
  </si>
  <si>
    <t>https://www.myfonts.com/pt/collections/diagonalalley-font-jointype</t>
  </si>
  <si>
    <t>Fonts, Starsandstripes, Strips, Stars, Lettering, Ibm, Blinds, Jointype</t>
  </si>
  <si>
    <t>Kaletero</t>
  </si>
  <si>
    <t>imagens\Kaletero.png</t>
  </si>
  <si>
    <t>https://www.myfonts.com/pt/collections/kaletero-font-denustudio</t>
  </si>
  <si>
    <t>Script, Handwritting, Vintage, Romantic Font, Vintage Script, Classic, Calligraphy, Wedding, Modern Calligraphy, Calligraphy Script Font, Elegant, Beautiful Font, Whimsical, Unique, Cursive, Lettering, Hand Lettered Font, Swashes, Modern, Stylish Font</t>
  </si>
  <si>
    <t>Living my story</t>
  </si>
  <si>
    <t>Bluestype Studio</t>
  </si>
  <si>
    <t>Jefri Dwi Alfatah</t>
  </si>
  <si>
    <t>imagens\Living_my_story.png</t>
  </si>
  <si>
    <t>https://www.myfonts.com/pt/collections/living-my-story-font-bluestype-studio</t>
  </si>
  <si>
    <t>Script, Handwritten, Signature, Stylish, Tail, Swashes, Ligature, Elegant, Wedding Font, Branding Font, Watermark Font, Mockup Font</t>
  </si>
  <si>
    <t>Monlight Quinttans</t>
  </si>
  <si>
    <t>imagens\Monlight_Quinttans.png</t>
  </si>
  <si>
    <t>https://www.myfonts.com/pt/collections/monlight-quinttans-font-letterena-studios</t>
  </si>
  <si>
    <t>Branding, Elegant, Font, Modern, Casual, Photography, Visual, Card, Signature, Wedding, Script, Calligraphy, Fashion, Logo</t>
  </si>
  <si>
    <t>Awangpone</t>
  </si>
  <si>
    <t>imagens\Awangpone.png</t>
  </si>
  <si>
    <t>https://www.myfonts.com/pt/collections/awangpone-font-syafbe</t>
  </si>
  <si>
    <t>Script, Monoline, Elegant, Handlettering, Handwritten, Handwriting, Invitation, Signature, Product, Packaging, Calligraphy, Wedding, Branding, Font Casual, Font Cursive, Font Chic, Logo, Serif, Sans, Modern</t>
  </si>
  <si>
    <t>OG Array</t>
  </si>
  <si>
    <t>OpenGrid</t>
  </si>
  <si>
    <t>Kaihong Gao</t>
  </si>
  <si>
    <t>imagens\OG_Array.png</t>
  </si>
  <si>
    <t>https://www.myfonts.com/pt/collections/og-array-font-opengrid</t>
  </si>
  <si>
    <t>Display, Geometric, Cyber, Pixel, Retro-futuristic, Logotype, Icon Font, Typography, Monogram, Wordmark</t>
  </si>
  <si>
    <t>Emerald Royale</t>
  </si>
  <si>
    <t>imagens\Emerald_Royale.png</t>
  </si>
  <si>
    <t>https://www.myfonts.com/pt/collections/emerald-royale-font-letterena-studios</t>
  </si>
  <si>
    <t>Anthony Dominate</t>
  </si>
  <si>
    <t>imagens\Anthony_Dominate.png</t>
  </si>
  <si>
    <t>https://www.myfonts.com/pt/collections/anthony-dominate-font-letterena-studios</t>
  </si>
  <si>
    <t>Midnight Realtime</t>
  </si>
  <si>
    <t>imagens\Midnight_Realtime.png</t>
  </si>
  <si>
    <t>https://www.myfonts.com/pt/collections/midnight-realtime-font-letterena-studios</t>
  </si>
  <si>
    <t>Biotrip Sans</t>
  </si>
  <si>
    <t>deFharo</t>
  </si>
  <si>
    <t>Fernando Haro</t>
  </si>
  <si>
    <t>imagens\Biotrip_Sans.png</t>
  </si>
  <si>
    <t>https://www.myfonts.com/pt/collections/biotrip-sans-font-defharo</t>
  </si>
  <si>
    <t>humanist, serif, opentype, editorial, spain, currencies, neo-grotesque, italics, lapidary, bitcoin, latin extended-a, page layout, system text, shekel, egyptian, square serif, antique, mechanistic, legible, heading, elegant</t>
  </si>
  <si>
    <t>MC Cruzzte</t>
  </si>
  <si>
    <t>imagens\MC_Cruzzte.png</t>
  </si>
  <si>
    <t>https://www.myfonts.com/pt/collections/mc-cruzzte-font-maulana-creative</t>
  </si>
  <si>
    <t>Horror Font, Scary Font, Display Font, Spooky Typeface, Halloween Font, Movie Poster, Metal Band, Album Cover, Gothic Style, Dark Theme, Brutal Font, Jagged Edges, Twisted Letters, Aggressive Design, Terror Type, Creepy Display, Vintage Horror, Slasher Movie, Custom Lettering, Unique Design</t>
  </si>
  <si>
    <t>Manhattan Nights Blues Club</t>
  </si>
  <si>
    <t>imagens\Manhattan_Nights_Blues_Club.png</t>
  </si>
  <si>
    <t>https://www.myfonts.com/pt/collections/manhattan-nights-blues-club-font-uicreative</t>
  </si>
  <si>
    <t>Handwritten, Handwritten Font, Script Font, Signature Typeface, Sans Serif, Modern, Classic, Franklin Gothic, Rough, Handwriting, Headline, Organic, Natural, Casual, Toolkit, Lettering, Textured</t>
  </si>
  <si>
    <t>Herjuna</t>
  </si>
  <si>
    <t>imagens\Herjuna.png</t>
  </si>
  <si>
    <t>https://www.myfonts.com/pt/collections/herjuna-font-burntilldead</t>
  </si>
  <si>
    <t>Stencil Font, Serif Font, Luxury Serif Font, Elegant Font, Display Serif Font, Fashion Font, Logo Font, Editorial Font, Wedding Font, Vintage Serif, Classy Font, Magazine Font, Decorative Serif, Stylish Serif Font, Couture Font, High End Brand, Classic Serif, Oblique Font, Branding Font</t>
  </si>
  <si>
    <t>Bloom</t>
  </si>
  <si>
    <t>imagens\Bloom.png</t>
  </si>
  <si>
    <t>https://www.myfonts.com/pt/collections/bloom-font-sensatype-studio</t>
  </si>
  <si>
    <t>Romantic, Aesthetic, Flower, Cinematic, Movie, Bloom, Elegant, Font, Serif, Display, Luxury, Fashion, Branding, Editorial, Wedding, Classic, Typography, Film, Design</t>
  </si>
  <si>
    <t>Pomenteva</t>
  </si>
  <si>
    <t>imagens\Pomenteva.png</t>
  </si>
  <si>
    <t>https://www.myfonts.com/pt/collections/pomenteva-font-made-deduk</t>
  </si>
  <si>
    <t>Blackletter, Decorative, Gothic, Classic, Headline, Fashion Font, Branding Font, Historical Font, Victorian Font, Vintage Typeface, Logotype, Ornate Font, Headline Typeface, Typography, Blackmetal Font, Swash Typeface, Rough Typeface, Halloween Typeface, Horror Typeface, Tattoo Typeface</t>
  </si>
  <si>
    <t>Not Quite Zen</t>
  </si>
  <si>
    <t>Kitchen Table Type Foundry</t>
  </si>
  <si>
    <t>David Kerkhoff</t>
  </si>
  <si>
    <t>imagens\Not_Quite_Zen.png</t>
  </si>
  <si>
    <t>https://www.myfonts.com/pt/collections/not-quite-zen-brush-font-kitchen-table-type-foundry</t>
  </si>
  <si>
    <t>Brush, Family, Script, Rough, Handmade, Contemporary, Packaging, Product, Web Design, Website, Poster, Useful, Multilingual</t>
  </si>
  <si>
    <t>Velion</t>
  </si>
  <si>
    <t>imagens\Velion.png</t>
  </si>
  <si>
    <t>https://www.myfonts.com/pt/collections/velion-font-kaidosan</t>
  </si>
  <si>
    <t>Hunters Fastera</t>
  </si>
  <si>
    <t>imagens\Hunters_Fastera.png</t>
  </si>
  <si>
    <t>https://www.myfonts.com/pt/collections/hunters-fastera-font-letterena-studios</t>
  </si>
  <si>
    <t>Andenia</t>
  </si>
  <si>
    <t>Letterluck</t>
  </si>
  <si>
    <t>imagens\Andenia.png</t>
  </si>
  <si>
    <t>https://www.myfonts.com/pt/collections/andenia-font-letterluck</t>
  </si>
  <si>
    <t>Business, Corporate, Labeling, Poster, Invitation, Wedding, Handlettering, Script, Modern Script, Cute, Natural, Calligraphy, Casual Handwriting, Logo, Branding, Heading, Display, Curly</t>
  </si>
  <si>
    <t>Back to christmas</t>
  </si>
  <si>
    <t>Patlot Digital Studio</t>
  </si>
  <si>
    <t>Gugun Gunawan</t>
  </si>
  <si>
    <t>imagens\Back_to_christmas.png</t>
  </si>
  <si>
    <t>https://www.myfonts.com/pt/collections/back-to-christmas-font-patlot-digital-studio</t>
  </si>
  <si>
    <t>Back To Christmas, Christmas, Xmas, Merry Christmas, Back To School, School, Teacher, Kids, Child, Children, Grinch, Santa, Santa Cruz, Handwriting, Handwriten, New Year, Holiday</t>
  </si>
  <si>
    <t>Fresh History</t>
  </si>
  <si>
    <t>Bale Type</t>
  </si>
  <si>
    <t>Liwa Shidqy</t>
  </si>
  <si>
    <t>imagens\Fresh_History.png</t>
  </si>
  <si>
    <t>https://www.myfonts.com/pt/collections/fresh-history-font-bale-type</t>
  </si>
  <si>
    <t>Organic, Vintage, Modern Font, Handmade, Hand Lettering, Logotype, Logo, Branding, Classic, Hand Drawn, Retro, Rough Fonts, Hipster Fonts, Fancy Fonts, Wedding, Fashion Fonts, Poster, Display Fonts, Script Fonts, Classy</t>
  </si>
  <si>
    <t>Maple Wind</t>
  </si>
  <si>
    <t>Shanaf</t>
  </si>
  <si>
    <t>Yesie Erma Yunita</t>
  </si>
  <si>
    <t>imagens\Maple_Wind.png</t>
  </si>
  <si>
    <t>https://www.myfonts.com/pt/collections/maple-wind-font-shanaf</t>
  </si>
  <si>
    <t>Autumn Font, Rustic Font, Display Font, Handmade Font, Fall Font, Vintage Font, Leaf Font, Cozy Font, Warm Font, Seasonal Font, Decorative Font, Headline Font, Branding Font, Logo Font, Poster Font, Retro Font, Serif Display, Craft Font, Invitation Font, Book Cover Font</t>
  </si>
  <si>
    <t>AC Texto Serif</t>
  </si>
  <si>
    <t>Antoine Crama</t>
  </si>
  <si>
    <t>https://www.myfonts.com/pt/collections/ac-texto-serif-font-antoine-crama</t>
  </si>
  <si>
    <t>legible, opentype, informal, headline, logo, warm</t>
  </si>
  <si>
    <t>Modera</t>
  </si>
  <si>
    <t>imagens\Modera.png</t>
  </si>
  <si>
    <t>https://www.myfonts.com/pt/collections/modera-font-sipanji21</t>
  </si>
  <si>
    <t>baseball, sport, Font, football, basketball, display, decorative, Sans, sans serif, slab, condensed retro, bold, modern, classic, logo, type, typeface, logotype, handmade, american, racing, college, 70s, 60s, 80s, 90s, softball, old, old school, varsity, hockey, Branding, athletic, champion, university, apparel, sporty, jersey, unique, speed, automotive, fast, cheerleader, NFL, race, grandprix, heritage</t>
  </si>
  <si>
    <t>Xirstark</t>
  </si>
  <si>
    <t>imagens\Xirstark.png</t>
  </si>
  <si>
    <t>https://www.myfonts.com/pt/collections/xirstark-font-denustudio</t>
  </si>
  <si>
    <t>Blackletter, Victorian, Vintage, Tattoo, Gothic, Horror, Medieval, Music, Black Metal, Death Metal, 80s, 90s, Old English, Ornate, Ornamental, Underground, Merchandise, Metal, Calligraphy, Swash</t>
  </si>
  <si>
    <t>Conega</t>
  </si>
  <si>
    <t>imagens\Conega.png</t>
  </si>
  <si>
    <t>https://www.myfonts.com/pt/collections/conega-font-hishand-studio</t>
  </si>
  <si>
    <t>Conega, Sans, Sans Serif, Logotype, Modern, Display, Icon, Cool, Elegant, Luxury, Branding, Marketing, Media, Logo, Beautiful, Aesthetic, Magazine, Fashion</t>
  </si>
  <si>
    <t>Exiger</t>
  </si>
  <si>
    <t>imagens\Exiger.png</t>
  </si>
  <si>
    <t>https://www.myfonts.com/pt/collections/exiger-font-artisan-themes</t>
  </si>
  <si>
    <t>Military Font, Stencil Font, Army Font, Aviation, War Font, Vintage Military Font, Grunge Font, Stamp Font, Industrial Font, Display Font, Aviation Typography, Army Stencil, Game Title Font, Rugged Typeface, Tactical Design, War Theme Font, Bomber Font, Badge Font, Military Logo Font</t>
  </si>
  <si>
    <t>Tarita</t>
  </si>
  <si>
    <t>imagens\Tarita.png</t>
  </si>
  <si>
    <t>https://www.myfonts.com/pt/collections/tarita-font-pandeka-studio</t>
  </si>
  <si>
    <t>Café, Display, Handcrafted, Bakery, Coffee Shop, Artisanal, Menu, Packaging, Logo, Branding, Playful, Creative, Experimental, Warm, Cozy, Lettering, Restaurant, Expressive, Alternates, Signage</t>
  </si>
  <si>
    <t>Deco Frame</t>
  </si>
  <si>
    <t>imagens\Deco_Frame.png</t>
  </si>
  <si>
    <t>https://www.myfonts.com/pt/collections/deco-frame-font-shanaf</t>
  </si>
  <si>
    <t>Art Deco Font, Deco Display, Elegant Font, Vintage Deco, Luxury Typeface, Decorative Font, Line Font, Geometric Font, Classy Font, Display Type, Premium Font, Branding Font, Logo Font, Headline Font, Poster Font, Retro Font, Modern Deco, Magazine Font, Cinematic Font, Title Font</t>
  </si>
  <si>
    <t>Elhave</t>
  </si>
  <si>
    <t>Artiveko</t>
  </si>
  <si>
    <t>Iwan Alwan</t>
  </si>
  <si>
    <t>imagens\Elhave.png</t>
  </si>
  <si>
    <t>https://www.myfonts.com/pt/collections/elhave-font-artiveko</t>
  </si>
  <si>
    <t>Font, Logo, Sans, Serif, Minimalist, Feminine, Creative, Elegant, Poster, Title, Business, Clean, Text, Type, Typography, Typeface, Luxury, Premium, Alternate, Ligature</t>
  </si>
  <si>
    <t>ID Sera One Pro</t>
  </si>
  <si>
    <t>Ekaunik Dz</t>
  </si>
  <si>
    <t>Swati Bhatnagar</t>
  </si>
  <si>
    <t>imagens\ID_Sera_One_Pro.png</t>
  </si>
  <si>
    <t>https://www.myfonts.com/pt/collections/id-sera-one-pro-font-izouuss-design</t>
  </si>
  <si>
    <t>Elegant, Display, Headline, Editorial, Luxury, Contemporary, Unique, Modern, Magazine, Didone, Retro, Contrast, Stylish, Royal, Crisp, Sophisticated, Timeless, Glamour</t>
  </si>
  <si>
    <t>Golden Huston</t>
  </si>
  <si>
    <t>Annas Rifky Anhar</t>
  </si>
  <si>
    <t>imagens\Golden_Huston.png</t>
  </si>
  <si>
    <t>https://www.myfonts.com/pt/collections/golden-huston-font-anxietype-foundry</t>
  </si>
  <si>
    <t>Cursive, Script, Modern, Stylish, Product, Packaging, Social Media, Banner, Design, Handwritten, Calligraphy, Logotype, Branding, Fashion, Fancy, Crafting, Bussines, Website, Wedding, Invitations</t>
  </si>
  <si>
    <t>Moonbeams Sans</t>
  </si>
  <si>
    <t>imagens\Moonbeams_Sans.png</t>
  </si>
  <si>
    <t>https://www.myfonts.com/pt/collections/moonbeams-sans-font-uicreative</t>
  </si>
  <si>
    <t>calligraphy, casual, chick, classic, elegant, font, handlettering, handwritten, lettering, luxury, modern, roman, script, serif, typeface, logos, logo, vintage, retro, classy, pencil, stylish, bold, font duo, cool, symbol, text, alphabet, typography, letters italic, future, art</t>
  </si>
  <si>
    <t>Volkys Serif</t>
  </si>
  <si>
    <t>imagens\Volkys_Serif.png</t>
  </si>
  <si>
    <t>https://www.myfonts.com/pt/collections/volkys-serif-font-propertype</t>
  </si>
  <si>
    <t>Serif Font, Editorial Font, Modern Serif, Nostalgic Serif, Elegant Typeface, High Contrast Serif, Professional Font, Fashion Magazine Font, Classic Serif, Retro Typeface, Italic Serif Font, Typeface for Headlines, Stylish Font, Vintage Inspired Font, Font for Branding, Multilingual Typeface, Fashion Typeface, Print Design Font, Layout Typography, Luxury Serif</t>
  </si>
  <si>
    <t>Cattalague</t>
  </si>
  <si>
    <t>imagens\Cattalague.png</t>
  </si>
  <si>
    <t>https://www.myfonts.com/pt/collections/cattalague-font-basnistudio</t>
  </si>
  <si>
    <t>Handlettering, Script, Monoline, Romance, Boldscript, Tagline, Handwritting</t>
  </si>
  <si>
    <t>Kamperly Vacation</t>
  </si>
  <si>
    <t>imagens\Kamperly_Vacation.png</t>
  </si>
  <si>
    <t>https://www.myfonts.com/pt/collections/kamperly-vacation-font-stylishtype-studio</t>
  </si>
  <si>
    <t>Typography, Ligature, Alternates, Swash, ScriptFont, CalligraphyFont, TravelFont, SummerFont, CreativeFont, SignatureType, BeachStyle, FlowingType, CasualScript, ModernScript, WarmType, Adventure, Branding, Logo, Poster, Lifestyle</t>
  </si>
  <si>
    <t>Taeob Gothic</t>
  </si>
  <si>
    <t>imagens\Taeob_Gothic.png</t>
  </si>
  <si>
    <t>https://www.myfonts.com/pt/collections/taeob-gothic-font-nirmana-visual</t>
  </si>
  <si>
    <t>Gothic, Logotype, Logo, Poster, Branding, Album Covers, Merchandise, Streetwear, Label, Packaging, Regular, Italic, Rough</t>
  </si>
  <si>
    <t>Phunkz</t>
  </si>
  <si>
    <t>Obiekt Studio</t>
  </si>
  <si>
    <t>Tomek Kudlak</t>
  </si>
  <si>
    <t>imagens\Phunkz.png</t>
  </si>
  <si>
    <t>https://www.myfonts.com/pt/collections/phunkz-font-obiekt-studio</t>
  </si>
  <si>
    <t>Punk, Raw, Handmade, Brush, Rough, Rebell, Analog, Paint, Street, Noise, Stencil, Dry, Destroy, Eroded, Riot, Ink, Display Font, Poster Font, Headline Font, Logo Font, Grunge Font, Distressed Font, Textured Font, Gritty Font, Punk Style, Raw Brush, Rough Brush, Handmade Typeface, DIY Aesthetic, Zine Style, Stencil Font, Street Style, Analog Texture, Riot Style, Destroyed Lettering, Urban Grunge</t>
  </si>
  <si>
    <t>Pixelywave Sans</t>
  </si>
  <si>
    <t>imagens\Pixelywave_Sans.png</t>
  </si>
  <si>
    <t>https://www.myfonts.com/pt/collections/pixelywave-sans-font-uicreative</t>
  </si>
  <si>
    <t>Mysteron</t>
  </si>
  <si>
    <t>Paulo Goode</t>
  </si>
  <si>
    <t>imagens\Mysteron.png</t>
  </si>
  <si>
    <t>https://www.myfonts.com/pt/collections/mysteron-font-paulo-goode</t>
  </si>
  <si>
    <t>Soft, Rounde, Modular, Modern, Sci-fi, Low Contrast, Display, Futuristic, Headline, Magazine, Branding, Logo, Advertising, Signage, Titles, Sans Serif, Technology, Book Design, Packaging, Robotic</t>
  </si>
  <si>
    <t>Graen Metal</t>
  </si>
  <si>
    <t>imagens\Graen_Metal.png</t>
  </si>
  <si>
    <t>https://www.myfonts.com/pt/collections/graen-metal-font-nirmana-visual</t>
  </si>
  <si>
    <t>Metal, Bold, Rough, Logo, Poster, Apparel, Modern, Merchandise, Branding</t>
  </si>
  <si>
    <t>Oldrige</t>
  </si>
  <si>
    <t>imagens\Oldrige.png</t>
  </si>
  <si>
    <t>https://www.myfonts.com/pt/collections/oldrige-font-jafar07</t>
  </si>
  <si>
    <t>Display, Slab Serif, Western, Bold, Vintage, Rustic, Branding, Logo, Signage, Serif, Retro, Poster, Strong, Editorial, Decorative</t>
  </si>
  <si>
    <t>Koramilo</t>
  </si>
  <si>
    <t>imagens\Koramilo.png</t>
  </si>
  <si>
    <t>https://www.myfonts.com/pt/collections/koramilo-font-burntilldead</t>
  </si>
  <si>
    <t>Stencil Font, Army Font, Military Font, Tactical Font, War Font, Grunge Stencil, Stamp Style, Inkbleed Font, Display Font, Bold Display Font, Bold Font, Game Title Font, Movie Poster, Rugged Font, Headline Font, Battle Font, Action Font, Vintage Military Font, Army Stencil Alphabet</t>
  </si>
  <si>
    <t>Rock Blox</t>
  </si>
  <si>
    <t>imagens\Rock_Blox.png</t>
  </si>
  <si>
    <t>https://www.myfonts.com/pt/collections/rock-blox-font-shanaf</t>
  </si>
  <si>
    <t>Stone Font, Rock Font, Block Font, Display Font, Bold Font, Rugged Font, Rocky Type, Broken Font, Game Font, Adventure Font, Kid Font, Playful Font, Textured Font, Heavy Font, Cartoon Font, Logo Font, Branding Font, Headline Font, Poster Font, Creative Font</t>
  </si>
  <si>
    <t>Kurozen</t>
  </si>
  <si>
    <t>imagens\Kurozen.png</t>
  </si>
  <si>
    <t>https://www.myfonts.com/pt/collections/kurozen-font-shanaf</t>
  </si>
  <si>
    <t>Japanese Font, Samurai Font, Ninja Font, Japan Style, Asian Font, Bold Display, Foreign Look, Sharp Font, Warrior Font, Brush Style, Logo Font, Headline Font, Poster Font, Gaming Font, Manga Font, Anime Font, Branding Font, Title Font, Creative Font, Unique Font</t>
  </si>
  <si>
    <t>Girast</t>
  </si>
  <si>
    <t>imagens\Girast.png</t>
  </si>
  <si>
    <t>https://www.myfonts.com/pt/collections/girast-font-sensatype-studio</t>
  </si>
  <si>
    <t>Condensed, Condensed Font, Bold Condensed, Bold Modern, Minimal Modern, Modern, Bold, Minimal, Clean, Sans, Logo, Branding, Typography, Editorial, Display, Poster, Design, Sharp, Font</t>
  </si>
  <si>
    <t>Ganker Storm</t>
  </si>
  <si>
    <t>imagens\Ganker_Storm.png</t>
  </si>
  <si>
    <t>https://www.myfonts.com/pt/collections/ganker-storm-font-sipanji21</t>
  </si>
  <si>
    <t>Graffiti Font, Wild Font, Brush Font, Urban Font, Street Font, Bold Font, Chaotic Font, Hiphop Font, Expressive Font, Freestyle Font, Tag Font, Raw Font, Grunge Font, Display Font, Youth Font, Spray Font, Energetic Font, Handdrawn Font, Artistic Font, Headline Font</t>
  </si>
  <si>
    <t>IT Slurvia</t>
  </si>
  <si>
    <t>imagens\IT_Slurvia.png</t>
  </si>
  <si>
    <t>https://www.myfonts.com/pt/collections/it-slurvia-font-creatifont-studio</t>
  </si>
  <si>
    <t>Liquid Font, Display Font, Wavy Font, Fluid Typography, Experimental Font, Art Display Font, Liquid Type, Creative Typography, Unique Display Font, Indotype Font, Psychedelic Font, Groovy Font, Organic Font, Funky Display Font, Modern Display Font, Fluid Design, Motion Typography, Typography Design, Liquid Lettering, Wavy Display Font</t>
  </si>
  <si>
    <t>EZ Fwipple</t>
  </si>
  <si>
    <t>imagens\EZ_Fwipple.png</t>
  </si>
  <si>
    <t>https://www.myfonts.com/pt/collections/ez-fwipple-font-zafara-studios</t>
  </si>
  <si>
    <t>Playful, Quirky, Cute, Fun, Scribble, Doodle, Kids, Happy, Cheerful, Joyful, Cartoon, Display, Bold, Friendly, Bouncy, Handdrawn, Organic, Creative, Bubbly, Expressive</t>
  </si>
  <si>
    <t>Haukteen Bush</t>
  </si>
  <si>
    <t>Vampstudio</t>
  </si>
  <si>
    <t>Irfan syah</t>
  </si>
  <si>
    <t>imagens\Haukteen_Bush.png</t>
  </si>
  <si>
    <t>https://www.myfonts.com/pt/collections/haukteen-bush-font-vampstudio</t>
  </si>
  <si>
    <t>Retro Display Font, Retro Typography, Modern Retro Font, Logo Display Font, Poster Typeface, Bold Display Font, 70s Font, Bold Retro, Groovy Typeface, Classic Font, Playful Retro, Vintage Logo Font, Pop Style Font, Decorative Retro Font, Retro Branding, Fun Display Font, Display Font, Retro Font</t>
  </si>
  <si>
    <t>Handriyen</t>
  </si>
  <si>
    <t>imagens\Handriyen.png</t>
  </si>
  <si>
    <t>https://www.myfonts.com/pt/collections/handriyen-font-made-deduk</t>
  </si>
  <si>
    <t>Bold Script, Groovy Script, Retro Script, Vintage Script, Cute Typeface, Elegant Script, Classic Script, Classy Script, Beautiful Script, Coffee Typeface, Wedding Script, Christmas Script, Valentine Script, Nostalgic Script, Romance Script, Logotype, Typography, Fashion Script, Branding Script, Curly Script</t>
  </si>
  <si>
    <t>Pathomwai</t>
  </si>
  <si>
    <t>imagens\Pathomwai.png</t>
  </si>
  <si>
    <t>https://www.myfonts.com/pt/collections/pathomwai-font-jipatype</t>
  </si>
  <si>
    <t>Rounded, Rounded Sans, Handwritten, Marker, Soft, Clean, Friendly, Playful, Cute, Warm, Casual, Kind, Gentle, Innocent, Happy, Kids, Children, School, Education, Thai Looped</t>
  </si>
  <si>
    <t>Nextor</t>
  </si>
  <si>
    <t>imagens\Nextor.png</t>
  </si>
  <si>
    <t>https://www.myfonts.com/pt/collections/nextor-font-jafar07</t>
  </si>
  <si>
    <t>Elegant Timeless, Modern Bold, Creative Premium, Fresh Refined, Minimal Expressive, Stylish Authentic, Versatile Dynamic, Crafted Exclusive, Distinctive Aesthetic, Impactful Signature</t>
  </si>
  <si>
    <t>Zt Grovian</t>
  </si>
  <si>
    <t>imagens\Zt_Grovian.png</t>
  </si>
  <si>
    <t>https://www.myfonts.com/pt/collections/zt-grovian-font-zaain-type</t>
  </si>
  <si>
    <t>Advertising, Book, Branding, Business, Casual, Decorative, Display, Elegant, Fashion, Headline, Logo, Magazine, Modern, Social Media, Stylist, Title, Web Font, Packaging, Clothing, Stylish</t>
  </si>
  <si>
    <t>Barcola Expanded</t>
  </si>
  <si>
    <t>Arterfak Project</t>
  </si>
  <si>
    <t>Ahmad Ramzi Fahruddin</t>
  </si>
  <si>
    <t>imagens\Barcola_Expanded.png</t>
  </si>
  <si>
    <t>https://www.myfonts.com/pt/collections/barcola-expanded-font-arterfak-project</t>
  </si>
  <si>
    <t>Expanded, Extended, Headline, Poster, Brutalism, Minimalist, Strong Sans, Sans Serif, Contemporary Style, Poster Font, Wide, Cool, Heavy, Grotesk, Geometric, Bold Font, Simple, Web Font, Motion Graphic</t>
  </si>
  <si>
    <t>Sonttak</t>
  </si>
  <si>
    <t>imagens\Sonttak.png</t>
  </si>
  <si>
    <t>https://www.myfonts.com/pt/collections/sonttak-font-timelesstype-studio</t>
  </si>
  <si>
    <t>Typography, Alternates, Ligature, Logo, Poster, RetroFont, VintageFont, BoldSerif, PlayfulType, CreativeFont, GroovyFont, FriendlyFont, WarmType, ChunkyType, DisplayFont, ClassicSerif, GraphicType, DecorativeFont, FunFont, FlowerPower</t>
  </si>
  <si>
    <t>Carta Nativa</t>
  </si>
  <si>
    <t>Azzam Ridhamalik</t>
  </si>
  <si>
    <t>imagens\Carta_Nativa.png</t>
  </si>
  <si>
    <t>https://www.myfonts.com/pt/collections/native-letter-font-azzam-ridhamalik</t>
  </si>
  <si>
    <t>Bold, Fat, Block, Chunky, Coastal, Summer, Retro, Vintage, Modern, Headline, Poster, Branding, Cafe, Coffee, Food, Packaging, Signage, Instagram, Beach</t>
  </si>
  <si>
    <t>Mavelo</t>
  </si>
  <si>
    <t>imagens\Mavelo.png</t>
  </si>
  <si>
    <t>https://www.myfonts.com/pt/collections/mavelo-font-letterhend</t>
  </si>
  <si>
    <t>Rounded, Sans Serif, Playful, Retro, Cartoon Font, Joyful, Branding Font, Charming, Packaging Font, Comic Font</t>
  </si>
  <si>
    <t>Monstroo</t>
  </si>
  <si>
    <t>imagens\Monstroo.png</t>
  </si>
  <si>
    <t>https://www.myfonts.com/pt/collections/monstroo-font-shanaf</t>
  </si>
  <si>
    <t>Monster Font, Kids Font, Fun Font, Quirky Font, Playful Font, Cartoon Font, Halloween Font, Cute Font, Bold Font, Display Font, Spooky Font, Scary Font, Children Font, Character Font, Creative Font, Comic Font, Party Font, Colorful Font, Craft Font, Poster Font</t>
  </si>
  <si>
    <t>Boldra</t>
  </si>
  <si>
    <t>imagens\Boldra.png</t>
  </si>
  <si>
    <t>https://www.myfonts.com/pt/collections/boldra-font-shanaf</t>
  </si>
  <si>
    <t>Bold Font, Display Font, Logo Font, Branding Font, Modern Bold, Strong Typeface, Sharp Font, Bold Display, Headline Font, Poster Font, Packaging Font, Unique Font, Bold Letters, Creative Font, Magazine Font, Title Font, Thick Font, Bold Logo, Business Font, Identity Font</t>
  </si>
  <si>
    <t>Cottra</t>
  </si>
  <si>
    <t>imagens\Cottra.png</t>
  </si>
  <si>
    <t>https://www.myfonts.com/pt/collections/cottra-font-artiveko</t>
  </si>
  <si>
    <t>Font, Log, Sans, Serif, Elegant, Clean, Business, Poster, Title, Ligature, Alternate, Creative, Logo, Rounded, Bold, Strong, Simple, Grotesk, Unique, Text</t>
  </si>
  <si>
    <t>Evismes</t>
  </si>
  <si>
    <t>imagens\Evismes.png</t>
  </si>
  <si>
    <t>https://www.myfonts.com/pt/collections/evismes-font-khoir</t>
  </si>
  <si>
    <t>Stylish, Masculine, Sans, Elegant, Retro, Classic, Display, Organic, Sans Serif, Fashion, Modern, Chin, Clean, Minimal, Fresh, Feminine, Women, Expensive, Classy, Ligature</t>
  </si>
  <si>
    <t>IT Bavolen</t>
  </si>
  <si>
    <t>Frederik Aristaputra</t>
  </si>
  <si>
    <t>imagens\IT_Bavolen.png</t>
  </si>
  <si>
    <t>https://www.myfonts.com/pt/collections/it-bavolen-font-creatifont-studio</t>
  </si>
  <si>
    <t>Bubble Font, Display Font, Graffiti Font, Urban Font, Street Font, Handdrawn Font, Cartoon Font, Playful Font, Youthful Font, Bold Display Font, Rounded Font, Inflated Font, Funky Font, Modern Display Font, Soft Typography, Creative Typography, Fun Typography, Bubbly Font, Energetic Font, Street Style</t>
  </si>
  <si>
    <t>Monarco</t>
  </si>
  <si>
    <t>Surotype</t>
  </si>
  <si>
    <t>Adil Budianto</t>
  </si>
  <si>
    <t>imagens\Monarco.png</t>
  </si>
  <si>
    <t>https://www.myfonts.com/pt/collections/monarco-font-surotype</t>
  </si>
  <si>
    <t>Condensed Font, Bold Font, Display Font, Experimental Type, Brutalism Design, Brutalist Font, Heavy Type, Surotype, Streetwear Design, Dystopian</t>
  </si>
  <si>
    <t>Solarglare</t>
  </si>
  <si>
    <t>Stephan Kamperman</t>
  </si>
  <si>
    <t>imagens\Solarglare.png</t>
  </si>
  <si>
    <t>https://www.myfonts.com/pt/collections/solarglare-font-stephan-kamperman</t>
  </si>
  <si>
    <t>Logo, Headings, Round, Retro, Seventies, Minimal, Simple, Sci-fi, Art Deco, Modern, Logos, Unique, Headers, Sun, Solar, Luxury, Clean, Retro Modern, Roundness, Elegant</t>
  </si>
  <si>
    <t>Carity</t>
  </si>
  <si>
    <t>imagens\Carity.png</t>
  </si>
  <si>
    <t>https://www.myfonts.com/pt/collections/carity-font-koplexs-studio</t>
  </si>
  <si>
    <t>Bold Display, Display Font, Chunky Display, Modern Display, Playful Display, Fun Display, Contemporary Display, Headline Font, Logo Font, Branding Font, Poster Font, Packaging Font, Advertising Font, Editorial Font, Retro Display, Quirky Display, Heavy Font, Thick Font, Stylish Display, Decorative Font</t>
  </si>
  <si>
    <t>Seatren</t>
  </si>
  <si>
    <t>imagens\Seatren.png</t>
  </si>
  <si>
    <t>https://www.myfonts.com/pt/collections/seatren-font-timelesstype-studio</t>
  </si>
  <si>
    <t>Typography, Alternates, Ligature, Branding, Logo, Poster, Packaging, DisplayFont, ModernFont, BoldSans, CreativeFont, RoundedFont, MinimalType, ContemporaryFont, SoftSans, StylishType, WarmFont, Headline, GraphicType, Lifestyle</t>
  </si>
  <si>
    <t>Ibnmuqlah</t>
  </si>
  <si>
    <t>Eyad Al-Samman</t>
  </si>
  <si>
    <t>imagens\Ibnmuqlah.png</t>
  </si>
  <si>
    <t>https://www.myfonts.com/pt/collections/ibnmuqlah-font-eyad-al-samman</t>
  </si>
  <si>
    <t>Arabic, Urdu, Persian, Kurdish, Arabic Fonts, Magazines, Newspapers, Books, Novels, Arabic Headline Fonts, Script Fonts, Titles, Arabic Posters, Display Fonts, Greeting Cards, Modern Arabic Typefaces, New Arabic Fonts, Eyad Al-Samman's Typefaces, Ibn Muqlah, Handwritten Scripts</t>
  </si>
  <si>
    <t>Formax</t>
  </si>
  <si>
    <t>Likeminds Studio</t>
  </si>
  <si>
    <t>Abhya Chawla</t>
  </si>
  <si>
    <t>Nov 26, 2025</t>
  </si>
  <si>
    <t>imagens\Formax.png</t>
  </si>
  <si>
    <t>https://www.myfonts.com/pt/collections/formax-font-likeminds-studio</t>
  </si>
  <si>
    <t>Dynamic, Display Font, Motion Font, Energy Font, Speed Font, Branding, Motion Design, Logo Design, Brand Identity, Bold, Smooth, Curve, Film Titles, Packaging, Poster Design</t>
  </si>
  <si>
    <t>Honick</t>
  </si>
  <si>
    <t>Authentype</t>
  </si>
  <si>
    <t>Ekayasa Ekayasa</t>
  </si>
  <si>
    <t>imagens\Honick.png</t>
  </si>
  <si>
    <t>https://www.myfonts.com/pt/collections/honick-font-authentype</t>
  </si>
  <si>
    <t>Geometric, Sans, Modern, Clean, Minimal, Contemporary, Typography, Font, Versatile, Bold, Thin, Branding, Creative, Design, Editorial, Multilingual, Ligatures, Professional, Smooth, Curves</t>
  </si>
  <si>
    <t>dom</t>
  </si>
  <si>
    <t>seg</t>
  </si>
  <si>
    <t>ter</t>
  </si>
  <si>
    <t>qua</t>
  </si>
  <si>
    <t>qui</t>
  </si>
  <si>
    <t>sex</t>
  </si>
  <si>
    <t>sab</t>
  </si>
  <si>
    <t>Mais Cara%</t>
  </si>
  <si>
    <t>Quem lançou Mais*</t>
  </si>
  <si>
    <t>Mais Pesos</t>
  </si>
  <si>
    <t>Média de pesos</t>
  </si>
  <si>
    <t>Dia com + Lançamentos</t>
  </si>
  <si>
    <t>Mais Barata%</t>
  </si>
  <si>
    <t>$ + Barata/Ind</t>
  </si>
  <si>
    <t>Média de %</t>
  </si>
  <si>
    <t>Média de $ Ind</t>
  </si>
  <si>
    <t>Dia com - Lançamentos</t>
  </si>
  <si>
    <t>Dolar Hoje</t>
  </si>
  <si>
    <t>$ + caro/Ind</t>
  </si>
  <si>
    <t>Pacote + Barato</t>
  </si>
  <si>
    <t>Pacote + Caro</t>
  </si>
  <si>
    <t>Média de Pacotes</t>
  </si>
  <si>
    <t>Média de Lançamentos</t>
  </si>
  <si>
    <t xml:space="preserve">A fonte com o maior Melhor Valor Por Estilo é </t>
  </si>
  <si>
    <t xml:space="preserve">, e custa </t>
  </si>
  <si>
    <t xml:space="preserve">$ </t>
  </si>
  <si>
    <t>.</t>
  </si>
  <si>
    <t xml:space="preserve">A fonte com o menor Melhor Valor Por Estilo é </t>
  </si>
  <si>
    <t xml:space="preserve">A média de melhor valor comprando em pacote é </t>
  </si>
  <si>
    <t xml:space="preserve">A fundidora que lançou mais fontes foi a </t>
  </si>
  <si>
    <t xml:space="preserve"> com o total de </t>
  </si>
  <si>
    <t xml:space="preserve"> fontes lançadas.</t>
  </si>
  <si>
    <t xml:space="preserve"> É a fonte com o maior número de estilos </t>
  </si>
  <si>
    <t xml:space="preserve"> estilos lançados.</t>
  </si>
  <si>
    <t xml:space="preserve">Superando a média de </t>
  </si>
  <si>
    <t xml:space="preserve"> por fonte no geral.</t>
  </si>
  <si>
    <t xml:space="preserve">O dia com mais lançamentos consecutivos teve </t>
  </si>
  <si>
    <t xml:space="preserve"> fontes lançadas </t>
  </si>
  <si>
    <t xml:space="preserve">a média é de </t>
  </si>
  <si>
    <t xml:space="preserve">Ainda sobre preços o pacote mais caro custa </t>
  </si>
  <si>
    <t xml:space="preserve">e se chama </t>
  </si>
  <si>
    <t xml:space="preserve"> com </t>
  </si>
  <si>
    <t xml:space="preserve">O pacote com o menor preço custa </t>
  </si>
  <si>
    <t xml:space="preserve"> e se chama </t>
  </si>
  <si>
    <t xml:space="preserve">O peso individual mais barato custa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</si>
</sst>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R$-416]\ * #,##0.00_-;\-[$R$-416]\ * #,##0.00_-;_-[$R$-416]\ * &quot;-&quot;??_-;_-@_-"/>
    <numFmt numFmtId="165" formatCode="[$R$-416]\ #,##0.00"/>
    <numFmt numFmtId="166" formatCode="&quot;R$&quot;\ #,##0.00"/>
    <numFmt numFmtId="167" formatCode="_-[$$-409]* #,##0.00_ ;_-[$$-409]* \-#,##0.00\ ;_-[$$-409]* &quot;-&quot;??_ ;_-@_ "/>
    <numFmt numFmtId="168" formatCode="_([$$-409]* #,##0.00_);_([$$-409]* \(#,##0.00\);_([$$-409]* &quot;-&quot;??_);_(@_)"/>
  </numFmts>
  <fonts count="12">
    <font>
      <sz val="11"/>
      <color theme="1"/>
      <name val="Calibri"/>
      <family val="2"/>
      <scheme val="minor"/>
    </font>
    <font>
      <b/>
      <sz val="11"/>
      <color theme="0"/>
      <name val="Calibri"/>
    </font>
    <font>
      <sz val="11"/>
      <color theme="0"/>
      <name val="Calibri"/>
      <family val="2"/>
      <scheme val="minor"/>
    </font>
    <font>
      <sz val="11"/>
      <color rgb="FF000000"/>
      <name val="Calibri"/>
      <family val="2"/>
      <scheme val="minor"/>
    </font>
    <font>
      <sz val="11"/>
      <color rgb="FF242424"/>
      <name val="Consolas"/>
      <family val="3"/>
    </font>
    <font>
      <b/>
      <sz val="11"/>
      <name val="Calibri"/>
      <family val="2"/>
    </font>
    <font>
      <b/>
      <sz val="11"/>
      <color theme="8"/>
      <name val="Calibri"/>
      <family val="2"/>
      <scheme val="minor"/>
    </font>
    <font>
      <b/>
      <sz val="11"/>
      <color theme="1"/>
      <name val="Calibri"/>
      <family val="2"/>
      <scheme val="minor"/>
    </font>
    <font>
      <b/>
      <sz val="11"/>
      <color rgb="FFC00000"/>
      <name val="Calibri"/>
      <family val="2"/>
      <scheme val="minor"/>
    </font>
    <font>
      <b/>
      <sz val="11"/>
      <color theme="6"/>
      <name val="Calibri"/>
      <family val="2"/>
      <scheme val="minor"/>
    </font>
    <font>
      <sz val="10"/>
      <color rgb="FF001D35"/>
      <name val="Arial"/>
      <family val="2"/>
    </font>
    <font>
      <sz val="11"/>
      <color rgb="FF000000"/>
      <name val="Calibri"/>
      <family val="2"/>
    </font>
  </fonts>
  <fills count="5">
    <fill>
      <patternFill patternType="none"/>
    </fill>
    <fill>
      <patternFill patternType="gray125"/>
    </fill>
    <fill>
      <patternFill patternType="solid">
        <fgColor rgb="FFD9D9D9"/>
        <bgColor rgb="FFD9D9D9"/>
      </patternFill>
    </fill>
    <fill>
      <patternFill patternType="solid">
        <fgColor theme="6" tint="0.79998168889431442"/>
        <bgColor indexed="64"/>
      </patternFill>
    </fill>
    <fill>
      <patternFill patternType="solid">
        <fgColor theme="0" tint="-0.14999847407452621"/>
        <bgColor theme="0" tint="-0.14999847407452621"/>
      </patternFill>
    </fill>
  </fills>
  <borders count="14">
    <border>
      <left/>
      <right/>
      <top/>
      <bottom/>
      <diagonal/>
    </border>
    <border>
      <left style="thin">
        <color auto="1"/>
      </left>
      <right style="thin">
        <color auto="1"/>
      </right>
      <top/>
      <bottom style="thin">
        <color auto="1"/>
      </bottom>
      <diagonal/>
    </border>
    <border>
      <left/>
      <right style="thin">
        <color theme="1"/>
      </right>
      <top style="thin">
        <color rgb="FF000000"/>
      </top>
      <bottom style="thin">
        <color rgb="FF000000"/>
      </bottom>
      <diagonal/>
    </border>
    <border>
      <left/>
      <right/>
      <top style="thin">
        <color theme="1"/>
      </top>
      <bottom style="thin">
        <color theme="1"/>
      </bottom>
      <diagonal/>
    </border>
    <border>
      <left style="thin">
        <color auto="1"/>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s>
  <cellStyleXfs count="1">
    <xf numFmtId="0" fontId="0" fillId="0" borderId="0"/>
  </cellStyleXfs>
  <cellXfs count="69">
    <xf numFmtId="0" fontId="0" fillId="0" borderId="0" xfId="0"/>
    <xf numFmtId="0" fontId="1" fillId="0" borderId="1" xfId="0" applyFont="1" applyBorder="1" applyAlignment="1">
      <alignment horizontal="center" vertical="top"/>
    </xf>
    <xf numFmtId="0" fontId="2" fillId="0" borderId="0" xfId="0" applyFont="1"/>
    <xf numFmtId="14" fontId="3" fillId="2" borderId="2" xfId="0" applyNumberFormat="1" applyFont="1" applyFill="1" applyBorder="1"/>
    <xf numFmtId="0" fontId="4" fillId="0" borderId="0" xfId="0" applyFont="1"/>
    <xf numFmtId="0" fontId="0" fillId="0" borderId="0" xfId="0" applyAlignment="1">
      <alignment horizontal="center"/>
    </xf>
    <xf numFmtId="1" fontId="4" fillId="0" borderId="0" xfId="0" applyNumberFormat="1" applyFont="1"/>
    <xf numFmtId="0" fontId="5" fillId="0" borderId="0" xfId="0" applyFont="1" applyAlignment="1">
      <alignment horizontal="center" vertical="top"/>
    </xf>
    <xf numFmtId="0" fontId="6" fillId="0" borderId="0" xfId="0" applyFont="1"/>
    <xf numFmtId="166" fontId="0" fillId="0" borderId="4" xfId="0" applyNumberFormat="1" applyBorder="1"/>
    <xf numFmtId="2" fontId="0" fillId="0" borderId="4" xfId="0" applyNumberFormat="1" applyBorder="1"/>
    <xf numFmtId="2" fontId="0" fillId="0" borderId="0" xfId="0" applyNumberFormat="1"/>
    <xf numFmtId="1" fontId="0" fillId="0" borderId="0" xfId="0" applyNumberFormat="1"/>
    <xf numFmtId="0" fontId="7" fillId="0" borderId="0" xfId="0" applyFont="1"/>
    <xf numFmtId="0" fontId="8" fillId="0" borderId="0" xfId="0" applyFont="1"/>
    <xf numFmtId="167" fontId="0" fillId="0" borderId="0" xfId="0" applyNumberFormat="1"/>
    <xf numFmtId="164" fontId="0" fillId="3" borderId="0" xfId="0" applyNumberFormat="1" applyFill="1"/>
    <xf numFmtId="0" fontId="7" fillId="3" borderId="0" xfId="0" applyFont="1" applyFill="1"/>
    <xf numFmtId="0" fontId="7" fillId="0" borderId="0" xfId="0" applyFont="1" applyAlignment="1">
      <alignment horizontal="center"/>
    </xf>
    <xf numFmtId="0" fontId="7" fillId="0" borderId="0" xfId="0" applyFont="1" applyAlignment="1">
      <alignment horizontal="center" vertical="center"/>
    </xf>
    <xf numFmtId="0" fontId="9" fillId="0" borderId="0" xfId="0" applyFont="1"/>
    <xf numFmtId="0" fontId="0" fillId="0" borderId="4" xfId="0" applyBorder="1"/>
    <xf numFmtId="0" fontId="10" fillId="0" borderId="0" xfId="0" applyFont="1" applyAlignment="1">
      <alignment horizontal="center"/>
    </xf>
    <xf numFmtId="0" fontId="0" fillId="0" borderId="3" xfId="0" applyBorder="1"/>
    <xf numFmtId="168" fontId="0" fillId="0" borderId="4" xfId="0" applyNumberFormat="1" applyBorder="1"/>
    <xf numFmtId="168" fontId="0" fillId="0" borderId="0" xfId="0" applyNumberFormat="1"/>
    <xf numFmtId="0" fontId="0" fillId="0" borderId="5" xfId="0" applyBorder="1"/>
    <xf numFmtId="164" fontId="0" fillId="0" borderId="3" xfId="0" applyNumberFormat="1" applyBorder="1"/>
    <xf numFmtId="165" fontId="0" fillId="0" borderId="3" xfId="0" applyNumberFormat="1" applyBorder="1"/>
    <xf numFmtId="0" fontId="0" fillId="0" borderId="6" xfId="0" applyBorder="1" applyAlignment="1">
      <alignment horizontal="center"/>
    </xf>
    <xf numFmtId="0" fontId="11" fillId="2" borderId="7" xfId="0" applyFont="1" applyFill="1" applyBorder="1"/>
    <xf numFmtId="0" fontId="11" fillId="2" borderId="8" xfId="0" applyFont="1" applyFill="1" applyBorder="1"/>
    <xf numFmtId="0" fontId="11" fillId="2" borderId="9" xfId="0" applyFont="1" applyFill="1" applyBorder="1"/>
    <xf numFmtId="0" fontId="11" fillId="0" borderId="7" xfId="0" applyFont="1" applyBorder="1"/>
    <xf numFmtId="0" fontId="11" fillId="0" borderId="8" xfId="0" applyFont="1" applyBorder="1"/>
    <xf numFmtId="0" fontId="11" fillId="0" borderId="9" xfId="0" applyFont="1" applyBorder="1"/>
    <xf numFmtId="0" fontId="11" fillId="0" borderId="0" xfId="0" applyFont="1"/>
    <xf numFmtId="0" fontId="11" fillId="2" borderId="0" xfId="0" applyFont="1" applyFill="1"/>
    <xf numFmtId="0" fontId="11" fillId="2" borderId="10" xfId="0" applyFont="1" applyFill="1" applyBorder="1"/>
    <xf numFmtId="0" fontId="11" fillId="0" borderId="10" xfId="0" applyFont="1" applyBorder="1"/>
    <xf numFmtId="0" fontId="0" fillId="4" borderId="5" xfId="0" applyFill="1" applyBorder="1"/>
    <xf numFmtId="0" fontId="0" fillId="4" borderId="3" xfId="0" applyFill="1" applyBorder="1"/>
    <xf numFmtId="164" fontId="0" fillId="4" borderId="3" xfId="0" applyNumberFormat="1" applyFill="1" applyBorder="1"/>
    <xf numFmtId="0" fontId="0" fillId="4" borderId="6" xfId="0" applyFill="1" applyBorder="1"/>
    <xf numFmtId="0" fontId="0" fillId="0" borderId="6" xfId="0" applyBorder="1"/>
    <xf numFmtId="165" fontId="0" fillId="4" borderId="3" xfId="0" applyNumberFormat="1" applyFill="1" applyBorder="1"/>
    <xf numFmtId="0" fontId="0" fillId="4" borderId="6" xfId="0" applyFill="1" applyBorder="1" applyAlignment="1">
      <alignment horizontal="center"/>
    </xf>
    <xf numFmtId="0" fontId="0" fillId="0" borderId="11" xfId="0" applyBorder="1"/>
    <xf numFmtId="0" fontId="0" fillId="0" borderId="12" xfId="0" applyBorder="1"/>
    <xf numFmtId="164" fontId="0" fillId="0" borderId="12" xfId="0" applyNumberFormat="1" applyBorder="1"/>
    <xf numFmtId="165" fontId="0" fillId="0" borderId="12" xfId="0" applyNumberFormat="1" applyBorder="1"/>
    <xf numFmtId="0" fontId="0" fillId="0" borderId="13" xfId="0" applyBorder="1" applyAlignment="1">
      <alignment horizontal="center"/>
    </xf>
    <xf numFmtId="0" fontId="1" fillId="0" borderId="1" xfId="0" applyFont="1" applyBorder="1" applyAlignment="1">
      <alignment horizontal="right" vertical="top"/>
    </xf>
    <xf numFmtId="15" fontId="11" fillId="2" borderId="8" xfId="0" applyNumberFormat="1" applyFont="1" applyFill="1" applyBorder="1" applyAlignment="1">
      <alignment horizontal="right"/>
    </xf>
    <xf numFmtId="15" fontId="11" fillId="0" borderId="8" xfId="0" applyNumberFormat="1" applyFont="1" applyBorder="1" applyAlignment="1">
      <alignment horizontal="right"/>
    </xf>
    <xf numFmtId="14" fontId="0" fillId="0" borderId="3" xfId="0" applyNumberFormat="1" applyBorder="1" applyAlignment="1">
      <alignment horizontal="right"/>
    </xf>
    <xf numFmtId="15" fontId="11" fillId="2" borderId="10" xfId="0" applyNumberFormat="1" applyFont="1" applyFill="1" applyBorder="1" applyAlignment="1">
      <alignment horizontal="right"/>
    </xf>
    <xf numFmtId="15" fontId="11" fillId="0" borderId="10" xfId="0" applyNumberFormat="1" applyFont="1" applyBorder="1" applyAlignment="1">
      <alignment horizontal="right"/>
    </xf>
    <xf numFmtId="0" fontId="0" fillId="4" borderId="3" xfId="0" applyFill="1" applyBorder="1" applyAlignment="1">
      <alignment horizontal="right"/>
    </xf>
    <xf numFmtId="0" fontId="0" fillId="0" borderId="3" xfId="0" applyBorder="1" applyAlignment="1">
      <alignment horizontal="right"/>
    </xf>
    <xf numFmtId="14" fontId="0" fillId="4" borderId="3" xfId="0" applyNumberFormat="1" applyFill="1" applyBorder="1" applyAlignment="1">
      <alignment horizontal="right"/>
    </xf>
    <xf numFmtId="14" fontId="0" fillId="0" borderId="12" xfId="0" applyNumberFormat="1" applyBorder="1" applyAlignment="1">
      <alignment horizontal="right"/>
    </xf>
    <xf numFmtId="0" fontId="0" fillId="0" borderId="0" xfId="0" applyAlignment="1">
      <alignment horizontal="right"/>
    </xf>
    <xf numFmtId="0" fontId="0" fillId="4" borderId="11" xfId="0" applyFill="1" applyBorder="1"/>
    <xf numFmtId="0" fontId="0" fillId="4" borderId="12" xfId="0" applyFill="1" applyBorder="1"/>
    <xf numFmtId="164" fontId="0" fillId="4" borderId="12" xfId="0" applyNumberFormat="1" applyFill="1" applyBorder="1"/>
    <xf numFmtId="165" fontId="0" fillId="4" borderId="12" xfId="0" applyNumberFormat="1" applyFill="1" applyBorder="1"/>
    <xf numFmtId="14" fontId="0" fillId="4" borderId="12" xfId="0" applyNumberFormat="1" applyFill="1" applyBorder="1" applyAlignment="1">
      <alignment horizontal="right"/>
    </xf>
    <xf numFmtId="0" fontId="0" fillId="4" borderId="13" xfId="0" applyFill="1" applyBorder="1" applyAlignment="1">
      <alignment horizontal="center"/>
    </xf>
  </cellXfs>
  <cellStyles count="1">
    <cellStyle name="Normal" xfId="0" builtinId="0"/>
  </cellStyles>
  <dxfs count="10">
    <dxf>
      <numFmt numFmtId="0" formatCode="General"/>
      <alignment horizontal="center"/>
    </dxf>
    <dxf>
      <alignment horizontal="center" vertical="bottom" textRotation="0" wrapText="0" indent="0" justifyLastLine="0" shrinkToFit="0" readingOrder="0"/>
    </dxf>
    <dxf>
      <alignment horizontal="center"/>
    </dxf>
    <dxf>
      <numFmt numFmtId="19" formatCode="m/d/yyyy"/>
      <alignment horizontal="right"/>
    </dxf>
    <dxf>
      <numFmt numFmtId="165" formatCode="[$R$-416]\ #,##0.00"/>
    </dxf>
    <dxf>
      <numFmt numFmtId="164" formatCode="_-[$R$-416]\ * #,##0.00_-;\-[$R$-416]\ * #,##0.00_-;_-[$R$-416]\ * &quot;-&quot;??_-;_-@_-"/>
    </dxf>
    <dxf>
      <numFmt numFmtId="164" formatCode="_-[$R$-416]\ * #,##0.00_-;\-[$R$-416]\ * #,##0.00_-;_-[$R$-416]\ * &quot;-&quot;??_-;_-@_-"/>
    </dxf>
    <dxf>
      <border outline="0">
        <bottom style="thin">
          <color auto="1"/>
        </bottom>
      </border>
    </dxf>
    <dxf>
      <border outline="0">
        <top style="thin">
          <color auto="1"/>
        </top>
      </border>
    </dxf>
    <dxf>
      <font>
        <b/>
        <i val="0"/>
        <strike val="0"/>
        <condense val="0"/>
        <extend val="0"/>
        <outline val="0"/>
        <shadow val="0"/>
        <u val="none"/>
        <vertAlign val="baseline"/>
        <sz val="11"/>
        <color theme="0"/>
        <name val="Calibri"/>
        <scheme val="none"/>
      </font>
      <alignment horizontal="center" vertical="top" textRotation="0" wrapText="0" indent="0" justifyLastLine="0" shrinkToFit="0" readingOrder="0"/>
      <border diagonalUp="0" diagonalDown="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2F6F12-74D2-41E1-9907-B35E9BF7A8AF}" name="Tabela1" displayName="Tabela1" ref="A1:N615" totalsRowShown="0" headerRowDxfId="9" headerRowBorderDxfId="7" tableBorderDxfId="8">
  <autoFilter ref="A1:N615" xr:uid="{5A2F6F12-74D2-41E1-9907-B35E9BF7A8AF}"/>
  <tableColumns count="14">
    <tableColumn id="1" xr3:uid="{E4FF9185-2C64-4D3A-9007-56283BDF669B}" name="Nome da fonte"/>
    <tableColumn id="2" xr3:uid="{0F248066-D9E5-4F05-AA1B-D5FC6D16FBF0}" name="Fundidora"/>
    <tableColumn id="3" xr3:uid="{D6D32EBF-9F70-4077-A83C-C3C523C8360D}" name="Designer"/>
    <tableColumn id="4" xr3:uid="{55618E00-EB31-4A3C-9A56-171FE7984ECA}" name="Preço Individual" dataDxfId="6"/>
    <tableColumn id="5" xr3:uid="{DDA0154C-EDC5-49F4-B396-C677F8716321}" name="Preço Completo" dataDxfId="5"/>
    <tableColumn id="6" xr3:uid="{D1CDFA30-A016-419E-AA82-39E5248BC047}" name="Quantidade de Estilos"/>
    <tableColumn id="7" xr3:uid="{FE982437-1D09-42A9-98CD-5B44C286D082}" name="PreçoMin/Font" dataDxfId="4">
      <calculatedColumnFormula>E2/F2</calculatedColumnFormula>
    </tableColumn>
    <tableColumn id="8" xr3:uid="{891F419A-4FE7-4DAF-916B-DC5731354499}" name="Estreia MyFonts" dataDxfId="3"/>
    <tableColumn id="9" xr3:uid="{60D88CC6-A7FC-4E29-979B-4DC669560A3D}" name="Imagem"/>
    <tableColumn id="10" xr3:uid="{9069AD07-8AE2-4D9B-87EE-DF9273F2D3FF}" name="Link"/>
    <tableColumn id="11" xr3:uid="{AC734FA7-EDB2-4B35-88F8-92E5B7635C6D}" name="Tags"/>
    <tableColumn id="12" xr3:uid="{3D120B14-E556-4D54-86FD-18059A10717D}" name="Variable" dataDxfId="2"/>
    <tableColumn id="14" xr3:uid="{49C29413-DC01-4004-A965-C1EA2C0E8C57}" name="Lançamentos/Foundrys" dataDxfId="1">
      <calculatedColumnFormula>COUNTIF($B$1:$B$1475, B2)</calculatedColumnFormula>
    </tableColumn>
    <tableColumn id="13" xr3:uid="{BC1B87C5-42B0-4836-A459-F75A41B2E5F3}" name="Lançamentos/Dia" dataDxfId="0">
      <calculatedColumnFormula>COUNTIF($H$2:$H$1465, H2)</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94"/>
  <sheetViews>
    <sheetView topLeftCell="A625" workbookViewId="0">
      <selection activeCell="A2" sqref="A2"/>
    </sheetView>
  </sheetViews>
  <sheetFormatPr defaultColWidth="9.140625" defaultRowHeight="15"/>
  <cols>
    <col min="1" max="1" width="25.140625" bestFit="1" customWidth="1"/>
    <col min="2" max="2" width="23.85546875" bestFit="1" customWidth="1"/>
    <col min="3" max="3" width="19.7109375" bestFit="1" customWidth="1"/>
    <col min="4" max="4" width="17.85546875" bestFit="1" customWidth="1"/>
    <col min="5" max="5" width="17.7109375" bestFit="1" customWidth="1"/>
    <col min="6" max="6" width="22.28515625" bestFit="1" customWidth="1"/>
    <col min="7" max="7" width="17" bestFit="1" customWidth="1"/>
    <col min="8" max="8" width="17.85546875" style="62" bestFit="1" customWidth="1"/>
    <col min="9" max="9" width="38.7109375" hidden="1" customWidth="1"/>
    <col min="10" max="10" width="26" hidden="1" customWidth="1"/>
    <col min="11" max="11" width="255.7109375" hidden="1" customWidth="1"/>
    <col min="12" max="12" width="13.7109375" style="5" customWidth="1"/>
    <col min="13" max="13" width="27.85546875" style="5" customWidth="1"/>
    <col min="14" max="14" width="20.5703125" customWidth="1"/>
  </cols>
  <sheetData>
    <row r="1" spans="1:15" s="2" customFormat="1">
      <c r="A1" s="1" t="s">
        <v>0</v>
      </c>
      <c r="B1" s="1" t="s">
        <v>1</v>
      </c>
      <c r="C1" s="1" t="s">
        <v>2</v>
      </c>
      <c r="D1" s="1" t="s">
        <v>3</v>
      </c>
      <c r="E1" s="1" t="s">
        <v>4</v>
      </c>
      <c r="F1" s="1" t="s">
        <v>5</v>
      </c>
      <c r="G1" s="1" t="s">
        <v>6</v>
      </c>
      <c r="H1" s="52" t="s">
        <v>7</v>
      </c>
      <c r="I1" s="1" t="s">
        <v>8</v>
      </c>
      <c r="J1" s="1" t="s">
        <v>9</v>
      </c>
      <c r="K1" s="1" t="s">
        <v>10</v>
      </c>
      <c r="L1" s="1" t="s">
        <v>11</v>
      </c>
      <c r="M1" s="1" t="s">
        <v>12</v>
      </c>
      <c r="N1" s="1" t="s">
        <v>13</v>
      </c>
      <c r="O1" s="1" t="s">
        <v>14</v>
      </c>
    </row>
    <row r="2" spans="1:15">
      <c r="A2" s="30" t="s">
        <v>15</v>
      </c>
      <c r="B2" s="31" t="s">
        <v>16</v>
      </c>
      <c r="C2" s="31" t="s">
        <v>17</v>
      </c>
      <c r="D2" s="31" t="s">
        <v>18</v>
      </c>
      <c r="E2" s="31" t="s">
        <v>19</v>
      </c>
      <c r="F2" s="31">
        <v>8</v>
      </c>
      <c r="G2" s="31" t="s">
        <v>20</v>
      </c>
      <c r="H2" s="53">
        <v>45972</v>
      </c>
      <c r="I2" s="31" t="s">
        <v>21</v>
      </c>
      <c r="J2" s="31" t="s">
        <v>22</v>
      </c>
      <c r="K2" s="31" t="s">
        <v>23</v>
      </c>
      <c r="L2" s="32" t="s">
        <v>24</v>
      </c>
      <c r="M2" s="5">
        <f>COUNTIF($B$1:$B$1475, B2)</f>
        <v>1</v>
      </c>
      <c r="N2">
        <f>COUNTIF($H$2:$H$1465, H2)</f>
        <v>33</v>
      </c>
    </row>
    <row r="3" spans="1:15">
      <c r="A3" s="33" t="s">
        <v>25</v>
      </c>
      <c r="B3" s="34" t="s">
        <v>26</v>
      </c>
      <c r="C3" s="34" t="s">
        <v>27</v>
      </c>
      <c r="D3" s="34" t="s">
        <v>28</v>
      </c>
      <c r="E3" s="34" t="s">
        <v>28</v>
      </c>
      <c r="F3" s="34">
        <v>1</v>
      </c>
      <c r="G3" s="34" t="s">
        <v>28</v>
      </c>
      <c r="H3" s="54">
        <v>45972</v>
      </c>
      <c r="I3" s="34" t="s">
        <v>29</v>
      </c>
      <c r="J3" s="34" t="s">
        <v>30</v>
      </c>
      <c r="K3" s="34" t="s">
        <v>31</v>
      </c>
      <c r="L3" s="35" t="s">
        <v>24</v>
      </c>
      <c r="M3" s="5">
        <f>COUNTIF($B$1:$B$1475, B3)</f>
        <v>12</v>
      </c>
      <c r="N3">
        <f>COUNTIF($H$2:$H$1465, H3)</f>
        <v>33</v>
      </c>
    </row>
    <row r="4" spans="1:15">
      <c r="A4" s="30" t="s">
        <v>32</v>
      </c>
      <c r="B4" s="31" t="s">
        <v>33</v>
      </c>
      <c r="C4" s="31" t="s">
        <v>34</v>
      </c>
      <c r="D4" s="31" t="s">
        <v>35</v>
      </c>
      <c r="E4" s="31" t="s">
        <v>35</v>
      </c>
      <c r="F4" s="31">
        <v>1</v>
      </c>
      <c r="G4" s="31" t="s">
        <v>35</v>
      </c>
      <c r="H4" s="53">
        <v>45972</v>
      </c>
      <c r="I4" s="31" t="s">
        <v>36</v>
      </c>
      <c r="J4" s="31" t="s">
        <v>37</v>
      </c>
      <c r="K4" s="31" t="s">
        <v>38</v>
      </c>
      <c r="L4" s="32" t="s">
        <v>24</v>
      </c>
      <c r="M4" s="5">
        <f>COUNTIF($B$1:$B$1475, B4)</f>
        <v>9</v>
      </c>
      <c r="N4">
        <f>COUNTIF($H$2:$H$1465, H4)</f>
        <v>33</v>
      </c>
    </row>
    <row r="5" spans="1:15">
      <c r="A5" s="33" t="s">
        <v>39</v>
      </c>
      <c r="B5" s="34" t="s">
        <v>40</v>
      </c>
      <c r="C5" s="34" t="s">
        <v>41</v>
      </c>
      <c r="D5" s="34" t="s">
        <v>35</v>
      </c>
      <c r="E5" s="34" t="s">
        <v>42</v>
      </c>
      <c r="F5" s="34">
        <v>2</v>
      </c>
      <c r="G5" s="34" t="s">
        <v>43</v>
      </c>
      <c r="H5" s="54">
        <v>45972</v>
      </c>
      <c r="I5" s="34" t="s">
        <v>44</v>
      </c>
      <c r="J5" s="34" t="s">
        <v>45</v>
      </c>
      <c r="K5" s="34" t="s">
        <v>46</v>
      </c>
      <c r="L5" s="35" t="s">
        <v>24</v>
      </c>
      <c r="M5" s="5">
        <f>COUNTIF($B$1:$B$1475, B5)</f>
        <v>7</v>
      </c>
      <c r="N5">
        <f>COUNTIF($H$2:$H$1465, H5)</f>
        <v>33</v>
      </c>
    </row>
    <row r="6" spans="1:15">
      <c r="A6" s="30" t="s">
        <v>47</v>
      </c>
      <c r="B6" s="31" t="s">
        <v>48</v>
      </c>
      <c r="C6" s="31" t="s">
        <v>49</v>
      </c>
      <c r="D6" s="31" t="s">
        <v>50</v>
      </c>
      <c r="E6" s="31" t="s">
        <v>51</v>
      </c>
      <c r="F6" s="31">
        <v>3</v>
      </c>
      <c r="G6" s="31" t="s">
        <v>52</v>
      </c>
      <c r="H6" s="53">
        <v>45972</v>
      </c>
      <c r="I6" s="31" t="s">
        <v>53</v>
      </c>
      <c r="J6" s="31" t="s">
        <v>54</v>
      </c>
      <c r="K6" s="31" t="s">
        <v>55</v>
      </c>
      <c r="L6" s="32" t="s">
        <v>24</v>
      </c>
      <c r="M6" s="5">
        <f>COUNTIF($B$1:$B$1475, B6)</f>
        <v>2</v>
      </c>
      <c r="N6">
        <f>COUNTIF($H$2:$H$1465, H6)</f>
        <v>33</v>
      </c>
    </row>
    <row r="7" spans="1:15">
      <c r="A7" s="33" t="s">
        <v>56</v>
      </c>
      <c r="B7" s="34" t="s">
        <v>57</v>
      </c>
      <c r="C7" s="34" t="s">
        <v>58</v>
      </c>
      <c r="D7" s="34" t="s">
        <v>18</v>
      </c>
      <c r="E7" s="34" t="s">
        <v>59</v>
      </c>
      <c r="F7" s="34">
        <v>2</v>
      </c>
      <c r="G7" s="34" t="s">
        <v>60</v>
      </c>
      <c r="H7" s="54">
        <v>45972</v>
      </c>
      <c r="I7" s="34" t="s">
        <v>61</v>
      </c>
      <c r="J7" s="34" t="s">
        <v>62</v>
      </c>
      <c r="K7" s="34" t="s">
        <v>63</v>
      </c>
      <c r="L7" s="35" t="s">
        <v>24</v>
      </c>
      <c r="M7" s="5">
        <f>COUNTIF($B$1:$B$1475, B7)</f>
        <v>7</v>
      </c>
      <c r="N7">
        <f>COUNTIF($H$2:$H$1465, H7)</f>
        <v>33</v>
      </c>
    </row>
    <row r="8" spans="1:15">
      <c r="A8" s="30" t="s">
        <v>64</v>
      </c>
      <c r="B8" s="31" t="s">
        <v>65</v>
      </c>
      <c r="C8" s="31" t="s">
        <v>58</v>
      </c>
      <c r="D8" s="31" t="s">
        <v>42</v>
      </c>
      <c r="E8" s="31" t="s">
        <v>18</v>
      </c>
      <c r="F8" s="31">
        <v>2</v>
      </c>
      <c r="G8" s="31" t="s">
        <v>66</v>
      </c>
      <c r="H8" s="53">
        <v>45972</v>
      </c>
      <c r="I8" s="31" t="s">
        <v>67</v>
      </c>
      <c r="J8" s="31" t="s">
        <v>68</v>
      </c>
      <c r="K8" s="31" t="s">
        <v>69</v>
      </c>
      <c r="L8" s="32" t="s">
        <v>24</v>
      </c>
      <c r="M8" s="5">
        <f>COUNTIF($B$1:$B$1475, B8)</f>
        <v>35</v>
      </c>
      <c r="N8">
        <f>COUNTIF($H$2:$H$1465, H8)</f>
        <v>33</v>
      </c>
    </row>
    <row r="9" spans="1:15">
      <c r="A9" s="33" t="s">
        <v>70</v>
      </c>
      <c r="B9" s="34" t="s">
        <v>71</v>
      </c>
      <c r="C9" s="34" t="s">
        <v>72</v>
      </c>
      <c r="D9" s="34" t="s">
        <v>73</v>
      </c>
      <c r="E9" s="34" t="s">
        <v>73</v>
      </c>
      <c r="F9" s="34">
        <v>1</v>
      </c>
      <c r="G9" s="34" t="s">
        <v>73</v>
      </c>
      <c r="H9" s="54">
        <v>45972</v>
      </c>
      <c r="I9" s="34" t="s">
        <v>74</v>
      </c>
      <c r="J9" s="34" t="s">
        <v>75</v>
      </c>
      <c r="K9" s="34" t="s">
        <v>76</v>
      </c>
      <c r="L9" s="35" t="s">
        <v>24</v>
      </c>
      <c r="M9" s="5">
        <f>COUNTIF($B$1:$B$1475, B9)</f>
        <v>2</v>
      </c>
      <c r="N9">
        <f>COUNTIF($H$2:$H$1465, H9)</f>
        <v>33</v>
      </c>
    </row>
    <row r="10" spans="1:15">
      <c r="A10" s="30" t="s">
        <v>77</v>
      </c>
      <c r="B10" s="31" t="s">
        <v>78</v>
      </c>
      <c r="C10" s="31" t="s">
        <v>79</v>
      </c>
      <c r="D10" s="31" t="s">
        <v>73</v>
      </c>
      <c r="E10" s="31" t="s">
        <v>80</v>
      </c>
      <c r="F10" s="31">
        <v>2</v>
      </c>
      <c r="G10" s="31" t="s">
        <v>81</v>
      </c>
      <c r="H10" s="53">
        <v>45972</v>
      </c>
      <c r="I10" s="31" t="s">
        <v>82</v>
      </c>
      <c r="J10" s="31" t="s">
        <v>83</v>
      </c>
      <c r="K10" s="31" t="s">
        <v>84</v>
      </c>
      <c r="L10" s="32" t="s">
        <v>24</v>
      </c>
      <c r="M10" s="5">
        <f>COUNTIF($B$1:$B$1475, B10)</f>
        <v>2</v>
      </c>
      <c r="N10">
        <f>COUNTIF($H$2:$H$1465, H10)</f>
        <v>33</v>
      </c>
    </row>
    <row r="11" spans="1:15">
      <c r="A11" s="33" t="s">
        <v>85</v>
      </c>
      <c r="B11" s="34" t="s">
        <v>40</v>
      </c>
      <c r="C11" s="34" t="s">
        <v>41</v>
      </c>
      <c r="D11" s="34" t="s">
        <v>35</v>
      </c>
      <c r="E11" s="34" t="s">
        <v>42</v>
      </c>
      <c r="F11" s="34">
        <v>2</v>
      </c>
      <c r="G11" s="34" t="s">
        <v>43</v>
      </c>
      <c r="H11" s="54">
        <v>45972</v>
      </c>
      <c r="I11" s="34" t="s">
        <v>86</v>
      </c>
      <c r="J11" s="34" t="s">
        <v>87</v>
      </c>
      <c r="K11" s="34" t="s">
        <v>88</v>
      </c>
      <c r="L11" s="35" t="s">
        <v>24</v>
      </c>
      <c r="M11" s="5">
        <f>COUNTIF($B$1:$B$1475, B11)</f>
        <v>7</v>
      </c>
      <c r="N11">
        <f>COUNTIF($H$2:$H$1465, H11)</f>
        <v>33</v>
      </c>
    </row>
    <row r="12" spans="1:15">
      <c r="A12" s="30" t="s">
        <v>89</v>
      </c>
      <c r="B12" s="31" t="s">
        <v>90</v>
      </c>
      <c r="C12" s="31" t="s">
        <v>91</v>
      </c>
      <c r="D12" s="31" t="s">
        <v>35</v>
      </c>
      <c r="E12" s="31" t="s">
        <v>92</v>
      </c>
      <c r="F12" s="31">
        <v>10</v>
      </c>
      <c r="G12" s="31" t="s">
        <v>93</v>
      </c>
      <c r="H12" s="53">
        <v>45972</v>
      </c>
      <c r="I12" s="31" t="s">
        <v>94</v>
      </c>
      <c r="J12" s="31" t="s">
        <v>95</v>
      </c>
      <c r="K12" s="31" t="s">
        <v>96</v>
      </c>
      <c r="L12" s="32" t="s">
        <v>24</v>
      </c>
      <c r="M12" s="5">
        <f>COUNTIF($B$1:$B$1475, B12)</f>
        <v>10</v>
      </c>
      <c r="N12">
        <f>COUNTIF($H$2:$H$1465, H12)</f>
        <v>33</v>
      </c>
    </row>
    <row r="13" spans="1:15">
      <c r="A13" s="33" t="s">
        <v>97</v>
      </c>
      <c r="B13" s="34" t="s">
        <v>26</v>
      </c>
      <c r="C13" s="34" t="s">
        <v>27</v>
      </c>
      <c r="D13" s="34" t="s">
        <v>98</v>
      </c>
      <c r="E13" s="34" t="s">
        <v>98</v>
      </c>
      <c r="F13" s="34">
        <v>1</v>
      </c>
      <c r="G13" s="34" t="s">
        <v>98</v>
      </c>
      <c r="H13" s="54">
        <v>45972</v>
      </c>
      <c r="I13" s="34" t="s">
        <v>99</v>
      </c>
      <c r="J13" s="34" t="s">
        <v>100</v>
      </c>
      <c r="K13" s="34" t="s">
        <v>101</v>
      </c>
      <c r="L13" s="35" t="s">
        <v>24</v>
      </c>
      <c r="M13" s="5">
        <f>COUNTIF($B$1:$B$1475, B13)</f>
        <v>12</v>
      </c>
      <c r="N13">
        <f>COUNTIF($H$2:$H$1465, H13)</f>
        <v>33</v>
      </c>
    </row>
    <row r="14" spans="1:15">
      <c r="A14" s="30" t="s">
        <v>102</v>
      </c>
      <c r="B14" s="31" t="s">
        <v>103</v>
      </c>
      <c r="C14" s="31" t="s">
        <v>104</v>
      </c>
      <c r="D14" s="31" t="s">
        <v>19</v>
      </c>
      <c r="E14" s="31" t="s">
        <v>51</v>
      </c>
      <c r="F14" s="31">
        <v>2</v>
      </c>
      <c r="G14" s="31" t="s">
        <v>105</v>
      </c>
      <c r="H14" s="53">
        <v>45972</v>
      </c>
      <c r="I14" s="31" t="s">
        <v>106</v>
      </c>
      <c r="J14" s="31" t="s">
        <v>107</v>
      </c>
      <c r="K14" s="31" t="s">
        <v>108</v>
      </c>
      <c r="L14" s="32" t="s">
        <v>24</v>
      </c>
      <c r="M14" s="5">
        <f>COUNTIF($B$1:$B$1475, B14)</f>
        <v>17</v>
      </c>
      <c r="N14">
        <f>COUNTIF($H$2:$H$1465, H14)</f>
        <v>33</v>
      </c>
    </row>
    <row r="15" spans="1:15">
      <c r="A15" s="33" t="s">
        <v>109</v>
      </c>
      <c r="B15" s="34" t="s">
        <v>110</v>
      </c>
      <c r="C15" s="34" t="s">
        <v>111</v>
      </c>
      <c r="D15" s="34" t="s">
        <v>50</v>
      </c>
      <c r="E15" s="34" t="s">
        <v>50</v>
      </c>
      <c r="F15" s="34">
        <v>2</v>
      </c>
      <c r="G15" s="34" t="s">
        <v>112</v>
      </c>
      <c r="H15" s="54">
        <v>45972</v>
      </c>
      <c r="I15" s="34" t="s">
        <v>113</v>
      </c>
      <c r="J15" s="34" t="s">
        <v>114</v>
      </c>
      <c r="K15" s="34" t="s">
        <v>115</v>
      </c>
      <c r="L15" s="35" t="s">
        <v>24</v>
      </c>
      <c r="M15" s="5">
        <f>COUNTIF($B$1:$B$1475, B15)</f>
        <v>2</v>
      </c>
      <c r="N15">
        <f>COUNTIF($H$2:$H$1465, H15)</f>
        <v>33</v>
      </c>
    </row>
    <row r="16" spans="1:15">
      <c r="A16" s="30" t="s">
        <v>116</v>
      </c>
      <c r="B16" s="31" t="s">
        <v>117</v>
      </c>
      <c r="C16" s="31" t="s">
        <v>118</v>
      </c>
      <c r="D16" s="31" t="s">
        <v>119</v>
      </c>
      <c r="E16" s="31" t="s">
        <v>120</v>
      </c>
      <c r="F16" s="31">
        <v>2</v>
      </c>
      <c r="G16" s="31" t="s">
        <v>121</v>
      </c>
      <c r="H16" s="53">
        <v>45972</v>
      </c>
      <c r="I16" s="31" t="s">
        <v>122</v>
      </c>
      <c r="J16" s="31" t="s">
        <v>123</v>
      </c>
      <c r="K16" s="31" t="s">
        <v>124</v>
      </c>
      <c r="L16" s="32" t="s">
        <v>24</v>
      </c>
      <c r="M16" s="5">
        <f>COUNTIF($B$1:$B$1475, B16)</f>
        <v>23</v>
      </c>
      <c r="N16">
        <f>COUNTIF($H$2:$H$1465, H16)</f>
        <v>33</v>
      </c>
    </row>
    <row r="17" spans="1:14">
      <c r="A17" s="33" t="s">
        <v>125</v>
      </c>
      <c r="B17" s="34" t="s">
        <v>117</v>
      </c>
      <c r="C17" s="34" t="s">
        <v>118</v>
      </c>
      <c r="D17" s="34" t="s">
        <v>119</v>
      </c>
      <c r="E17" s="34" t="s">
        <v>120</v>
      </c>
      <c r="F17" s="34">
        <v>4</v>
      </c>
      <c r="G17" s="34" t="s">
        <v>126</v>
      </c>
      <c r="H17" s="54">
        <v>45972</v>
      </c>
      <c r="I17" s="34" t="s">
        <v>127</v>
      </c>
      <c r="J17" s="34" t="s">
        <v>128</v>
      </c>
      <c r="K17" s="34" t="s">
        <v>129</v>
      </c>
      <c r="L17" s="35" t="s">
        <v>24</v>
      </c>
      <c r="M17" s="5">
        <f>COUNTIF($B$1:$B$1475, B17)</f>
        <v>23</v>
      </c>
      <c r="N17">
        <f>COUNTIF($H$2:$H$1465, H17)</f>
        <v>33</v>
      </c>
    </row>
    <row r="18" spans="1:14">
      <c r="A18" s="30" t="s">
        <v>130</v>
      </c>
      <c r="B18" s="31" t="s">
        <v>131</v>
      </c>
      <c r="C18" s="31" t="s">
        <v>132</v>
      </c>
      <c r="D18" s="31" t="s">
        <v>35</v>
      </c>
      <c r="E18" s="31" t="s">
        <v>120</v>
      </c>
      <c r="F18" s="31">
        <v>2</v>
      </c>
      <c r="G18" s="31" t="s">
        <v>121</v>
      </c>
      <c r="H18" s="53">
        <v>45972</v>
      </c>
      <c r="I18" s="31" t="s">
        <v>133</v>
      </c>
      <c r="J18" s="31" t="s">
        <v>134</v>
      </c>
      <c r="K18" s="31" t="s">
        <v>135</v>
      </c>
      <c r="L18" s="32" t="s">
        <v>24</v>
      </c>
      <c r="M18" s="5">
        <f>COUNTIF($B$1:$B$1475, B18)</f>
        <v>1</v>
      </c>
      <c r="N18">
        <f>COUNTIF($H$2:$H$1465, H18)</f>
        <v>33</v>
      </c>
    </row>
    <row r="19" spans="1:14">
      <c r="A19" s="33" t="s">
        <v>136</v>
      </c>
      <c r="B19" s="34" t="s">
        <v>137</v>
      </c>
      <c r="C19" s="34" t="s">
        <v>138</v>
      </c>
      <c r="D19" s="34" t="s">
        <v>92</v>
      </c>
      <c r="E19" s="34" t="s">
        <v>139</v>
      </c>
      <c r="F19" s="34">
        <v>16</v>
      </c>
      <c r="G19" s="34" t="s">
        <v>140</v>
      </c>
      <c r="H19" s="54">
        <v>45972</v>
      </c>
      <c r="I19" s="34" t="s">
        <v>141</v>
      </c>
      <c r="J19" s="34" t="s">
        <v>142</v>
      </c>
      <c r="K19" s="34" t="s">
        <v>143</v>
      </c>
      <c r="L19" s="35" t="s">
        <v>24</v>
      </c>
      <c r="M19" s="5">
        <f>COUNTIF($B$1:$B$1475, B19)</f>
        <v>1</v>
      </c>
      <c r="N19">
        <f>COUNTIF($H$2:$H$1465, H19)</f>
        <v>33</v>
      </c>
    </row>
    <row r="20" spans="1:14">
      <c r="A20" s="30" t="s">
        <v>144</v>
      </c>
      <c r="B20" s="31" t="s">
        <v>117</v>
      </c>
      <c r="C20" s="31" t="s">
        <v>118</v>
      </c>
      <c r="D20" s="31" t="s">
        <v>119</v>
      </c>
      <c r="E20" s="31" t="s">
        <v>145</v>
      </c>
      <c r="F20" s="31">
        <v>16</v>
      </c>
      <c r="G20" s="31" t="s">
        <v>146</v>
      </c>
      <c r="H20" s="53">
        <v>45972</v>
      </c>
      <c r="I20" s="31" t="s">
        <v>147</v>
      </c>
      <c r="J20" s="31" t="s">
        <v>148</v>
      </c>
      <c r="K20" s="31" t="s">
        <v>149</v>
      </c>
      <c r="L20" s="32" t="s">
        <v>24</v>
      </c>
      <c r="M20" s="5">
        <f>COUNTIF($B$1:$B$1475, B20)</f>
        <v>23</v>
      </c>
      <c r="N20">
        <f>COUNTIF($H$2:$H$1465, H20)</f>
        <v>33</v>
      </c>
    </row>
    <row r="21" spans="1:14">
      <c r="A21" s="33" t="s">
        <v>150</v>
      </c>
      <c r="B21" s="34" t="s">
        <v>151</v>
      </c>
      <c r="C21" s="34" t="s">
        <v>152</v>
      </c>
      <c r="D21" s="34" t="s">
        <v>35</v>
      </c>
      <c r="E21" s="34" t="s">
        <v>35</v>
      </c>
      <c r="F21" s="34">
        <v>1</v>
      </c>
      <c r="G21" s="34" t="s">
        <v>35</v>
      </c>
      <c r="H21" s="54">
        <v>45972</v>
      </c>
      <c r="I21" s="34" t="s">
        <v>153</v>
      </c>
      <c r="J21" s="34" t="s">
        <v>154</v>
      </c>
      <c r="K21" s="34" t="s">
        <v>155</v>
      </c>
      <c r="L21" s="35" t="s">
        <v>24</v>
      </c>
      <c r="M21" s="5">
        <f>COUNTIF($B$1:$B$1475, B21)</f>
        <v>3</v>
      </c>
      <c r="N21">
        <f>COUNTIF($H$2:$H$1465, H21)</f>
        <v>33</v>
      </c>
    </row>
    <row r="22" spans="1:14">
      <c r="A22" s="30" t="s">
        <v>156</v>
      </c>
      <c r="B22" s="31" t="s">
        <v>103</v>
      </c>
      <c r="C22" s="31" t="s">
        <v>104</v>
      </c>
      <c r="D22" s="31" t="s">
        <v>19</v>
      </c>
      <c r="E22" s="31" t="s">
        <v>19</v>
      </c>
      <c r="F22" s="31">
        <v>1</v>
      </c>
      <c r="G22" s="31" t="s">
        <v>19</v>
      </c>
      <c r="H22" s="53">
        <v>45972</v>
      </c>
      <c r="I22" s="31" t="s">
        <v>157</v>
      </c>
      <c r="J22" s="31" t="s">
        <v>158</v>
      </c>
      <c r="K22" s="31" t="s">
        <v>159</v>
      </c>
      <c r="L22" s="32" t="s">
        <v>24</v>
      </c>
      <c r="M22" s="5">
        <f>COUNTIF($B$1:$B$1475, B22)</f>
        <v>17</v>
      </c>
      <c r="N22">
        <f>COUNTIF($H$2:$H$1465, H22)</f>
        <v>33</v>
      </c>
    </row>
    <row r="23" spans="1:14">
      <c r="A23" s="33" t="s">
        <v>160</v>
      </c>
      <c r="B23" s="34" t="s">
        <v>103</v>
      </c>
      <c r="C23" s="34" t="s">
        <v>104</v>
      </c>
      <c r="D23" s="34" t="s">
        <v>19</v>
      </c>
      <c r="E23" s="34" t="s">
        <v>19</v>
      </c>
      <c r="F23" s="34">
        <v>1</v>
      </c>
      <c r="G23" s="34" t="s">
        <v>19</v>
      </c>
      <c r="H23" s="54">
        <v>45972</v>
      </c>
      <c r="I23" s="34" t="s">
        <v>161</v>
      </c>
      <c r="J23" s="34" t="s">
        <v>162</v>
      </c>
      <c r="K23" s="34" t="s">
        <v>163</v>
      </c>
      <c r="L23" s="35" t="s">
        <v>24</v>
      </c>
      <c r="M23" s="5">
        <f>COUNTIF($B$1:$B$1475, B23)</f>
        <v>17</v>
      </c>
      <c r="N23">
        <f>COUNTIF($H$2:$H$1465, H23)</f>
        <v>33</v>
      </c>
    </row>
    <row r="24" spans="1:14">
      <c r="A24" s="30" t="s">
        <v>164</v>
      </c>
      <c r="B24" s="31" t="s">
        <v>165</v>
      </c>
      <c r="C24" s="31" t="s">
        <v>166</v>
      </c>
      <c r="D24" s="31" t="s">
        <v>18</v>
      </c>
      <c r="E24" s="31" t="s">
        <v>18</v>
      </c>
      <c r="F24" s="31">
        <v>1</v>
      </c>
      <c r="G24" s="31" t="s">
        <v>18</v>
      </c>
      <c r="H24" s="53">
        <v>45972</v>
      </c>
      <c r="I24" s="31" t="s">
        <v>167</v>
      </c>
      <c r="J24" s="31" t="s">
        <v>168</v>
      </c>
      <c r="K24" s="31" t="s">
        <v>169</v>
      </c>
      <c r="L24" s="32" t="s">
        <v>24</v>
      </c>
      <c r="M24" s="5">
        <f>COUNTIF($B$1:$B$1475, B24)</f>
        <v>3</v>
      </c>
      <c r="N24">
        <f>COUNTIF($H$2:$H$1465, H24)</f>
        <v>33</v>
      </c>
    </row>
    <row r="25" spans="1:14">
      <c r="A25" s="33" t="s">
        <v>170</v>
      </c>
      <c r="B25" s="34" t="s">
        <v>171</v>
      </c>
      <c r="C25" s="34" t="s">
        <v>172</v>
      </c>
      <c r="D25" s="34" t="s">
        <v>80</v>
      </c>
      <c r="E25" s="34" t="s">
        <v>80</v>
      </c>
      <c r="F25" s="34">
        <v>2</v>
      </c>
      <c r="G25" s="34" t="s">
        <v>81</v>
      </c>
      <c r="H25" s="54">
        <v>45972</v>
      </c>
      <c r="I25" s="34" t="s">
        <v>173</v>
      </c>
      <c r="J25" s="34" t="s">
        <v>174</v>
      </c>
      <c r="K25" s="34" t="s">
        <v>175</v>
      </c>
      <c r="L25" s="35" t="s">
        <v>24</v>
      </c>
      <c r="M25" s="5">
        <f>COUNTIF($B$1:$B$1475, B25)</f>
        <v>2</v>
      </c>
      <c r="N25">
        <f>COUNTIF($H$2:$H$1465, H25)</f>
        <v>33</v>
      </c>
    </row>
    <row r="26" spans="1:14">
      <c r="A26" s="30" t="s">
        <v>176</v>
      </c>
      <c r="B26" s="31" t="s">
        <v>177</v>
      </c>
      <c r="C26" s="31" t="s">
        <v>178</v>
      </c>
      <c r="D26" s="31" t="s">
        <v>80</v>
      </c>
      <c r="E26" s="31" t="s">
        <v>50</v>
      </c>
      <c r="F26" s="31">
        <v>2</v>
      </c>
      <c r="G26" s="31" t="s">
        <v>112</v>
      </c>
      <c r="H26" s="53">
        <v>45972</v>
      </c>
      <c r="I26" s="31" t="s">
        <v>179</v>
      </c>
      <c r="J26" s="31" t="s">
        <v>180</v>
      </c>
      <c r="K26" s="31" t="s">
        <v>181</v>
      </c>
      <c r="L26" s="32" t="s">
        <v>24</v>
      </c>
      <c r="M26" s="5">
        <f>COUNTIF($B$1:$B$1475, B26)</f>
        <v>1</v>
      </c>
      <c r="N26">
        <f>COUNTIF($H$2:$H$1465, H26)</f>
        <v>33</v>
      </c>
    </row>
    <row r="27" spans="1:14">
      <c r="A27" s="33" t="s">
        <v>182</v>
      </c>
      <c r="B27" s="34" t="s">
        <v>183</v>
      </c>
      <c r="C27" s="34" t="s">
        <v>184</v>
      </c>
      <c r="D27" s="34" t="s">
        <v>35</v>
      </c>
      <c r="E27" s="34" t="s">
        <v>59</v>
      </c>
      <c r="F27" s="34">
        <v>2</v>
      </c>
      <c r="G27" s="34" t="s">
        <v>60</v>
      </c>
      <c r="H27" s="54">
        <v>45972</v>
      </c>
      <c r="I27" s="34" t="s">
        <v>185</v>
      </c>
      <c r="J27" s="34" t="s">
        <v>186</v>
      </c>
      <c r="K27" s="34" t="s">
        <v>187</v>
      </c>
      <c r="L27" s="35" t="s">
        <v>24</v>
      </c>
      <c r="M27" s="5">
        <f>COUNTIF($B$1:$B$1475, B27)</f>
        <v>4</v>
      </c>
      <c r="N27">
        <f>COUNTIF($H$2:$H$1465, H27)</f>
        <v>33</v>
      </c>
    </row>
    <row r="28" spans="1:14">
      <c r="A28" s="30" t="s">
        <v>188</v>
      </c>
      <c r="B28" s="31" t="s">
        <v>33</v>
      </c>
      <c r="C28" s="31" t="s">
        <v>34</v>
      </c>
      <c r="D28" s="31" t="s">
        <v>35</v>
      </c>
      <c r="E28" s="31" t="s">
        <v>35</v>
      </c>
      <c r="F28" s="31">
        <v>1</v>
      </c>
      <c r="G28" s="31" t="s">
        <v>35</v>
      </c>
      <c r="H28" s="53">
        <v>45972</v>
      </c>
      <c r="I28" s="31" t="s">
        <v>189</v>
      </c>
      <c r="J28" s="31" t="s">
        <v>190</v>
      </c>
      <c r="K28" s="31" t="s">
        <v>191</v>
      </c>
      <c r="L28" s="32" t="s">
        <v>24</v>
      </c>
      <c r="M28" s="5">
        <f>COUNTIF($B$1:$B$1475, B28)</f>
        <v>9</v>
      </c>
      <c r="N28">
        <f>COUNTIF($H$2:$H$1465, H28)</f>
        <v>33</v>
      </c>
    </row>
    <row r="29" spans="1:14">
      <c r="A29" s="33" t="s">
        <v>192</v>
      </c>
      <c r="B29" s="34" t="s">
        <v>193</v>
      </c>
      <c r="C29" s="34" t="s">
        <v>194</v>
      </c>
      <c r="D29" s="34" t="s">
        <v>35</v>
      </c>
      <c r="E29" s="34" t="s">
        <v>35</v>
      </c>
      <c r="F29" s="34">
        <v>1</v>
      </c>
      <c r="G29" s="34" t="s">
        <v>35</v>
      </c>
      <c r="H29" s="54">
        <v>45972</v>
      </c>
      <c r="I29" s="34" t="s">
        <v>195</v>
      </c>
      <c r="J29" s="34" t="s">
        <v>196</v>
      </c>
      <c r="K29" s="34" t="s">
        <v>197</v>
      </c>
      <c r="L29" s="35" t="s">
        <v>24</v>
      </c>
      <c r="M29" s="5">
        <f>COUNTIF($B$1:$B$1475, B29)</f>
        <v>1</v>
      </c>
      <c r="N29">
        <f>COUNTIF($H$2:$H$1465, H29)</f>
        <v>33</v>
      </c>
    </row>
    <row r="30" spans="1:14">
      <c r="A30" s="30" t="s">
        <v>198</v>
      </c>
      <c r="B30" s="31" t="s">
        <v>199</v>
      </c>
      <c r="C30" s="31" t="s">
        <v>200</v>
      </c>
      <c r="D30" s="31" t="s">
        <v>201</v>
      </c>
      <c r="E30" s="31" t="s">
        <v>201</v>
      </c>
      <c r="F30" s="31">
        <v>1</v>
      </c>
      <c r="G30" s="31" t="s">
        <v>201</v>
      </c>
      <c r="H30" s="53">
        <v>45972</v>
      </c>
      <c r="I30" s="31" t="s">
        <v>202</v>
      </c>
      <c r="J30" s="31" t="s">
        <v>203</v>
      </c>
      <c r="K30" s="31" t="s">
        <v>204</v>
      </c>
      <c r="L30" s="32" t="s">
        <v>24</v>
      </c>
      <c r="M30" s="5">
        <f>COUNTIF($B$1:$B$1475, B30)</f>
        <v>2</v>
      </c>
      <c r="N30">
        <f>COUNTIF($H$2:$H$1465, H30)</f>
        <v>33</v>
      </c>
    </row>
    <row r="31" spans="1:14">
      <c r="A31" s="33" t="s">
        <v>205</v>
      </c>
      <c r="B31" s="34" t="s">
        <v>206</v>
      </c>
      <c r="C31" s="34" t="s">
        <v>58</v>
      </c>
      <c r="D31" s="34" t="s">
        <v>18</v>
      </c>
      <c r="E31" s="34" t="s">
        <v>59</v>
      </c>
      <c r="F31" s="34">
        <v>2</v>
      </c>
      <c r="G31" s="34" t="s">
        <v>60</v>
      </c>
      <c r="H31" s="54">
        <v>45972</v>
      </c>
      <c r="I31" s="34" t="s">
        <v>207</v>
      </c>
      <c r="J31" s="34" t="s">
        <v>208</v>
      </c>
      <c r="K31" s="34" t="s">
        <v>209</v>
      </c>
      <c r="L31" s="35" t="s">
        <v>24</v>
      </c>
      <c r="M31" s="5">
        <f>COUNTIF($B$1:$B$1475, B31)</f>
        <v>13</v>
      </c>
      <c r="N31">
        <f>COUNTIF($H$2:$H$1465, H31)</f>
        <v>33</v>
      </c>
    </row>
    <row r="32" spans="1:14">
      <c r="A32" s="30" t="s">
        <v>210</v>
      </c>
      <c r="B32" s="31" t="s">
        <v>211</v>
      </c>
      <c r="C32" s="31" t="s">
        <v>212</v>
      </c>
      <c r="D32" s="31" t="s">
        <v>213</v>
      </c>
      <c r="E32" s="31" t="s">
        <v>214</v>
      </c>
      <c r="F32" s="31">
        <v>9</v>
      </c>
      <c r="G32" s="31" t="s">
        <v>215</v>
      </c>
      <c r="H32" s="53">
        <v>45972</v>
      </c>
      <c r="I32" s="31" t="s">
        <v>216</v>
      </c>
      <c r="J32" s="31" t="s">
        <v>217</v>
      </c>
      <c r="K32" s="31" t="s">
        <v>218</v>
      </c>
      <c r="L32" s="32" t="s">
        <v>24</v>
      </c>
      <c r="M32" s="5">
        <f>COUNTIF($B$1:$B$1475, B32)</f>
        <v>3</v>
      </c>
      <c r="N32">
        <f>COUNTIF($H$2:$H$1465, H32)</f>
        <v>33</v>
      </c>
    </row>
    <row r="33" spans="1:14">
      <c r="A33" s="33" t="s">
        <v>219</v>
      </c>
      <c r="B33" s="34" t="s">
        <v>220</v>
      </c>
      <c r="C33" s="34" t="s">
        <v>221</v>
      </c>
      <c r="D33" s="34" t="s">
        <v>222</v>
      </c>
      <c r="E33" s="34" t="s">
        <v>222</v>
      </c>
      <c r="F33" s="34">
        <v>3</v>
      </c>
      <c r="G33" s="34" t="s">
        <v>223</v>
      </c>
      <c r="H33" s="54">
        <v>45972</v>
      </c>
      <c r="I33" s="34" t="s">
        <v>224</v>
      </c>
      <c r="J33" s="34" t="s">
        <v>225</v>
      </c>
      <c r="K33" s="34" t="s">
        <v>226</v>
      </c>
      <c r="L33" s="35" t="s">
        <v>24</v>
      </c>
      <c r="M33" s="5">
        <f>COUNTIF($B$1:$B$1475, B33)</f>
        <v>7</v>
      </c>
      <c r="N33">
        <f>COUNTIF($H$2:$H$1465, H33)</f>
        <v>33</v>
      </c>
    </row>
    <row r="34" spans="1:14">
      <c r="A34" s="30" t="s">
        <v>227</v>
      </c>
      <c r="B34" s="31" t="s">
        <v>65</v>
      </c>
      <c r="C34" s="31" t="s">
        <v>58</v>
      </c>
      <c r="D34" s="31" t="s">
        <v>42</v>
      </c>
      <c r="E34" s="31" t="s">
        <v>18</v>
      </c>
      <c r="F34" s="31">
        <v>2</v>
      </c>
      <c r="G34" s="31" t="s">
        <v>66</v>
      </c>
      <c r="H34" s="53">
        <v>45971</v>
      </c>
      <c r="I34" s="31" t="s">
        <v>228</v>
      </c>
      <c r="J34" s="31" t="s">
        <v>229</v>
      </c>
      <c r="K34" s="31" t="s">
        <v>230</v>
      </c>
      <c r="L34" s="32" t="s">
        <v>24</v>
      </c>
      <c r="M34" s="5">
        <f>COUNTIF($B$1:$B$1475, B34)</f>
        <v>35</v>
      </c>
      <c r="N34">
        <f>COUNTIF($H$2:$H$1465, H34)</f>
        <v>63</v>
      </c>
    </row>
    <row r="35" spans="1:14">
      <c r="A35" s="33" t="s">
        <v>231</v>
      </c>
      <c r="B35" s="34" t="s">
        <v>26</v>
      </c>
      <c r="C35" s="34" t="s">
        <v>27</v>
      </c>
      <c r="D35" s="34" t="s">
        <v>35</v>
      </c>
      <c r="E35" s="34" t="s">
        <v>35</v>
      </c>
      <c r="F35" s="34">
        <v>1</v>
      </c>
      <c r="G35" s="34" t="s">
        <v>35</v>
      </c>
      <c r="H35" s="54">
        <v>45971</v>
      </c>
      <c r="I35" s="34" t="s">
        <v>232</v>
      </c>
      <c r="J35" s="34" t="s">
        <v>233</v>
      </c>
      <c r="K35" s="34" t="s">
        <v>234</v>
      </c>
      <c r="L35" s="35" t="s">
        <v>24</v>
      </c>
      <c r="M35" s="5">
        <f>COUNTIF($B$1:$B$1475, B35)</f>
        <v>12</v>
      </c>
      <c r="N35">
        <f>COUNTIF($H$2:$H$1465, H35)</f>
        <v>63</v>
      </c>
    </row>
    <row r="36" spans="1:14">
      <c r="A36" s="30" t="s">
        <v>235</v>
      </c>
      <c r="B36" s="31" t="s">
        <v>236</v>
      </c>
      <c r="C36" s="31" t="s">
        <v>237</v>
      </c>
      <c r="D36" s="31" t="s">
        <v>238</v>
      </c>
      <c r="E36" s="31" t="s">
        <v>239</v>
      </c>
      <c r="F36" s="31">
        <v>4</v>
      </c>
      <c r="G36" s="31" t="s">
        <v>240</v>
      </c>
      <c r="H36" s="53">
        <v>45971</v>
      </c>
      <c r="I36" s="31" t="s">
        <v>241</v>
      </c>
      <c r="J36" s="31" t="s">
        <v>242</v>
      </c>
      <c r="K36" s="31" t="s">
        <v>243</v>
      </c>
      <c r="L36" s="32" t="s">
        <v>24</v>
      </c>
      <c r="M36" s="5">
        <f>COUNTIF($B$1:$B$1475, B36)</f>
        <v>2</v>
      </c>
      <c r="N36">
        <f>COUNTIF($H$2:$H$1465, H36)</f>
        <v>63</v>
      </c>
    </row>
    <row r="37" spans="1:14">
      <c r="A37" s="33" t="s">
        <v>244</v>
      </c>
      <c r="B37" s="34" t="s">
        <v>245</v>
      </c>
      <c r="C37" s="34" t="s">
        <v>245</v>
      </c>
      <c r="D37" s="34" t="s">
        <v>246</v>
      </c>
      <c r="E37" s="34" t="s">
        <v>246</v>
      </c>
      <c r="F37" s="34">
        <v>3</v>
      </c>
      <c r="G37" s="34" t="s">
        <v>247</v>
      </c>
      <c r="H37" s="54">
        <v>45971</v>
      </c>
      <c r="I37" s="34" t="s">
        <v>248</v>
      </c>
      <c r="J37" s="34" t="s">
        <v>249</v>
      </c>
      <c r="K37" s="36"/>
      <c r="L37" s="35" t="s">
        <v>24</v>
      </c>
      <c r="M37" s="5">
        <f>COUNTIF($B$1:$B$1475, B37)</f>
        <v>2</v>
      </c>
      <c r="N37">
        <f>COUNTIF($H$2:$H$1465, H37)</f>
        <v>63</v>
      </c>
    </row>
    <row r="38" spans="1:14">
      <c r="A38" s="30" t="s">
        <v>250</v>
      </c>
      <c r="B38" s="31" t="s">
        <v>251</v>
      </c>
      <c r="C38" s="31" t="s">
        <v>252</v>
      </c>
      <c r="D38" s="31" t="s">
        <v>50</v>
      </c>
      <c r="E38" s="31" t="s">
        <v>50</v>
      </c>
      <c r="F38" s="31">
        <v>1</v>
      </c>
      <c r="G38" s="31" t="s">
        <v>50</v>
      </c>
      <c r="H38" s="53">
        <v>45971</v>
      </c>
      <c r="I38" s="31" t="s">
        <v>253</v>
      </c>
      <c r="J38" s="31" t="s">
        <v>254</v>
      </c>
      <c r="K38" s="31" t="s">
        <v>255</v>
      </c>
      <c r="L38" s="32" t="s">
        <v>24</v>
      </c>
      <c r="M38" s="5">
        <f>COUNTIF($B$1:$B$1475, B38)</f>
        <v>10</v>
      </c>
      <c r="N38">
        <f>COUNTIF($H$2:$H$1465, H38)</f>
        <v>63</v>
      </c>
    </row>
    <row r="39" spans="1:14">
      <c r="A39" s="33" t="s">
        <v>256</v>
      </c>
      <c r="B39" s="34" t="s">
        <v>65</v>
      </c>
      <c r="C39" s="34" t="s">
        <v>58</v>
      </c>
      <c r="D39" s="34" t="s">
        <v>42</v>
      </c>
      <c r="E39" s="34" t="s">
        <v>18</v>
      </c>
      <c r="F39" s="34">
        <v>2</v>
      </c>
      <c r="G39" s="34" t="s">
        <v>66</v>
      </c>
      <c r="H39" s="54">
        <v>45971</v>
      </c>
      <c r="I39" s="34" t="s">
        <v>257</v>
      </c>
      <c r="J39" s="34" t="s">
        <v>258</v>
      </c>
      <c r="K39" s="34" t="s">
        <v>230</v>
      </c>
      <c r="L39" s="35" t="s">
        <v>24</v>
      </c>
      <c r="M39" s="5">
        <f>COUNTIF($B$1:$B$1475, B39)</f>
        <v>35</v>
      </c>
      <c r="N39">
        <f>COUNTIF($H$2:$H$1465, H39)</f>
        <v>63</v>
      </c>
    </row>
    <row r="40" spans="1:14">
      <c r="A40" s="30" t="s">
        <v>259</v>
      </c>
      <c r="B40" s="31" t="s">
        <v>103</v>
      </c>
      <c r="C40" s="31" t="s">
        <v>104</v>
      </c>
      <c r="D40" s="31" t="s">
        <v>19</v>
      </c>
      <c r="E40" s="31" t="s">
        <v>19</v>
      </c>
      <c r="F40" s="31">
        <v>1</v>
      </c>
      <c r="G40" s="31" t="s">
        <v>19</v>
      </c>
      <c r="H40" s="53">
        <v>45971</v>
      </c>
      <c r="I40" s="31" t="s">
        <v>260</v>
      </c>
      <c r="J40" s="31" t="s">
        <v>261</v>
      </c>
      <c r="K40" s="31" t="s">
        <v>262</v>
      </c>
      <c r="L40" s="32" t="s">
        <v>24</v>
      </c>
      <c r="M40" s="5">
        <f>COUNTIF($B$1:$B$1475, B40)</f>
        <v>17</v>
      </c>
      <c r="N40">
        <f>COUNTIF($H$2:$H$1465, H40)</f>
        <v>63</v>
      </c>
    </row>
    <row r="41" spans="1:14">
      <c r="A41" s="33" t="s">
        <v>263</v>
      </c>
      <c r="B41" s="34" t="s">
        <v>251</v>
      </c>
      <c r="C41" s="34" t="s">
        <v>252</v>
      </c>
      <c r="D41" s="34" t="s">
        <v>50</v>
      </c>
      <c r="E41" s="34" t="s">
        <v>50</v>
      </c>
      <c r="F41" s="34">
        <v>1</v>
      </c>
      <c r="G41" s="34" t="s">
        <v>50</v>
      </c>
      <c r="H41" s="54">
        <v>45971</v>
      </c>
      <c r="I41" s="34" t="s">
        <v>264</v>
      </c>
      <c r="J41" s="34" t="s">
        <v>265</v>
      </c>
      <c r="K41" s="34" t="s">
        <v>266</v>
      </c>
      <c r="L41" s="35" t="s">
        <v>24</v>
      </c>
      <c r="M41" s="5">
        <f>COUNTIF($B$1:$B$1475, B41)</f>
        <v>10</v>
      </c>
      <c r="N41">
        <f>COUNTIF($H$2:$H$1465, H41)</f>
        <v>63</v>
      </c>
    </row>
    <row r="42" spans="1:14">
      <c r="A42" s="30" t="s">
        <v>267</v>
      </c>
      <c r="B42" s="31" t="s">
        <v>268</v>
      </c>
      <c r="C42" s="31" t="s">
        <v>269</v>
      </c>
      <c r="D42" s="31" t="s">
        <v>80</v>
      </c>
      <c r="E42" s="31" t="s">
        <v>50</v>
      </c>
      <c r="F42" s="31">
        <v>2</v>
      </c>
      <c r="G42" s="31" t="s">
        <v>112</v>
      </c>
      <c r="H42" s="53">
        <v>45971</v>
      </c>
      <c r="I42" s="31" t="s">
        <v>270</v>
      </c>
      <c r="J42" s="31" t="s">
        <v>271</v>
      </c>
      <c r="K42" s="31" t="s">
        <v>272</v>
      </c>
      <c r="L42" s="32" t="s">
        <v>24</v>
      </c>
      <c r="M42" s="5">
        <f>COUNTIF($B$1:$B$1475, B42)</f>
        <v>12</v>
      </c>
      <c r="N42">
        <f>COUNTIF($H$2:$H$1465, H42)</f>
        <v>63</v>
      </c>
    </row>
    <row r="43" spans="1:14">
      <c r="A43" s="33" t="s">
        <v>273</v>
      </c>
      <c r="B43" s="34" t="s">
        <v>268</v>
      </c>
      <c r="C43" s="34" t="s">
        <v>269</v>
      </c>
      <c r="D43" s="34" t="s">
        <v>80</v>
      </c>
      <c r="E43" s="34" t="s">
        <v>50</v>
      </c>
      <c r="F43" s="34">
        <v>2</v>
      </c>
      <c r="G43" s="34" t="s">
        <v>112</v>
      </c>
      <c r="H43" s="54">
        <v>45971</v>
      </c>
      <c r="I43" s="34" t="s">
        <v>274</v>
      </c>
      <c r="J43" s="34" t="s">
        <v>275</v>
      </c>
      <c r="K43" s="34" t="s">
        <v>276</v>
      </c>
      <c r="L43" s="35" t="s">
        <v>24</v>
      </c>
      <c r="M43" s="5">
        <f>COUNTIF($B$1:$B$1475, B43)</f>
        <v>12</v>
      </c>
      <c r="N43">
        <f>COUNTIF($H$2:$H$1465, H43)</f>
        <v>63</v>
      </c>
    </row>
    <row r="44" spans="1:14">
      <c r="A44" s="30" t="s">
        <v>277</v>
      </c>
      <c r="B44" s="31" t="s">
        <v>278</v>
      </c>
      <c r="C44" s="31" t="s">
        <v>279</v>
      </c>
      <c r="D44" s="31" t="s">
        <v>35</v>
      </c>
      <c r="E44" s="31" t="s">
        <v>35</v>
      </c>
      <c r="F44" s="31">
        <v>1</v>
      </c>
      <c r="G44" s="31" t="s">
        <v>35</v>
      </c>
      <c r="H44" s="53">
        <v>45971</v>
      </c>
      <c r="I44" s="31" t="s">
        <v>280</v>
      </c>
      <c r="J44" s="31" t="s">
        <v>281</v>
      </c>
      <c r="K44" s="31" t="s">
        <v>282</v>
      </c>
      <c r="L44" s="32" t="s">
        <v>24</v>
      </c>
      <c r="M44" s="5">
        <f>COUNTIF($B$1:$B$1475, B44)</f>
        <v>2</v>
      </c>
      <c r="N44">
        <f>COUNTIF($H$2:$H$1465, H44)</f>
        <v>63</v>
      </c>
    </row>
    <row r="45" spans="1:14">
      <c r="A45" s="33" t="s">
        <v>283</v>
      </c>
      <c r="B45" s="34" t="s">
        <v>284</v>
      </c>
      <c r="C45" s="34" t="s">
        <v>285</v>
      </c>
      <c r="D45" s="34" t="s">
        <v>286</v>
      </c>
      <c r="E45" s="34" t="s">
        <v>287</v>
      </c>
      <c r="F45" s="34">
        <v>10</v>
      </c>
      <c r="G45" s="34" t="s">
        <v>288</v>
      </c>
      <c r="H45" s="54">
        <v>45971</v>
      </c>
      <c r="I45" s="34" t="s">
        <v>289</v>
      </c>
      <c r="J45" s="34" t="s">
        <v>290</v>
      </c>
      <c r="K45" s="34" t="s">
        <v>291</v>
      </c>
      <c r="L45" s="35" t="s">
        <v>24</v>
      </c>
      <c r="M45" s="5">
        <f>COUNTIF($B$1:$B$1475, B45)</f>
        <v>2</v>
      </c>
      <c r="N45">
        <f>COUNTIF($H$2:$H$1465, H45)</f>
        <v>63</v>
      </c>
    </row>
    <row r="46" spans="1:14">
      <c r="A46" s="30" t="s">
        <v>292</v>
      </c>
      <c r="B46" s="31" t="s">
        <v>293</v>
      </c>
      <c r="C46" s="31" t="s">
        <v>294</v>
      </c>
      <c r="D46" s="31" t="s">
        <v>295</v>
      </c>
      <c r="E46" s="31" t="s">
        <v>296</v>
      </c>
      <c r="F46" s="31">
        <v>7</v>
      </c>
      <c r="G46" s="31" t="s">
        <v>297</v>
      </c>
      <c r="H46" s="53">
        <v>45971</v>
      </c>
      <c r="I46" s="31" t="s">
        <v>298</v>
      </c>
      <c r="J46" s="31" t="s">
        <v>299</v>
      </c>
      <c r="K46" s="31" t="s">
        <v>300</v>
      </c>
      <c r="L46" s="32" t="s">
        <v>301</v>
      </c>
      <c r="M46" s="5">
        <f>COUNTIF($B$1:$B$1475, B46)</f>
        <v>2</v>
      </c>
      <c r="N46">
        <f>COUNTIF($H$2:$H$1465, H46)</f>
        <v>63</v>
      </c>
    </row>
    <row r="47" spans="1:14">
      <c r="A47" s="33" t="s">
        <v>302</v>
      </c>
      <c r="B47" s="34" t="s">
        <v>103</v>
      </c>
      <c r="C47" s="34" t="s">
        <v>104</v>
      </c>
      <c r="D47" s="34" t="s">
        <v>19</v>
      </c>
      <c r="E47" s="34" t="s">
        <v>19</v>
      </c>
      <c r="F47" s="34">
        <v>1</v>
      </c>
      <c r="G47" s="34" t="s">
        <v>19</v>
      </c>
      <c r="H47" s="54">
        <v>45971</v>
      </c>
      <c r="I47" s="34" t="s">
        <v>303</v>
      </c>
      <c r="J47" s="34" t="s">
        <v>304</v>
      </c>
      <c r="K47" s="34" t="s">
        <v>305</v>
      </c>
      <c r="L47" s="35" t="s">
        <v>24</v>
      </c>
      <c r="M47" s="5">
        <f>COUNTIF($B$1:$B$1475, B47)</f>
        <v>17</v>
      </c>
      <c r="N47">
        <f>COUNTIF($H$2:$H$1465, H47)</f>
        <v>63</v>
      </c>
    </row>
    <row r="48" spans="1:14">
      <c r="A48" s="30" t="s">
        <v>306</v>
      </c>
      <c r="B48" s="31" t="s">
        <v>103</v>
      </c>
      <c r="C48" s="31" t="s">
        <v>104</v>
      </c>
      <c r="D48" s="31" t="s">
        <v>19</v>
      </c>
      <c r="E48" s="31" t="s">
        <v>19</v>
      </c>
      <c r="F48" s="31">
        <v>1</v>
      </c>
      <c r="G48" s="31" t="s">
        <v>19</v>
      </c>
      <c r="H48" s="53">
        <v>45971</v>
      </c>
      <c r="I48" s="31" t="s">
        <v>307</v>
      </c>
      <c r="J48" s="31" t="s">
        <v>308</v>
      </c>
      <c r="K48" s="31" t="s">
        <v>309</v>
      </c>
      <c r="L48" s="32" t="s">
        <v>24</v>
      </c>
      <c r="M48" s="5">
        <f>COUNTIF($B$1:$B$1475, B48)</f>
        <v>17</v>
      </c>
      <c r="N48">
        <f>COUNTIF($H$2:$H$1465, H48)</f>
        <v>63</v>
      </c>
    </row>
    <row r="49" spans="1:14">
      <c r="A49" s="33" t="s">
        <v>310</v>
      </c>
      <c r="B49" s="34" t="s">
        <v>117</v>
      </c>
      <c r="C49" s="34" t="s">
        <v>118</v>
      </c>
      <c r="D49" s="34" t="s">
        <v>119</v>
      </c>
      <c r="E49" s="34" t="s">
        <v>239</v>
      </c>
      <c r="F49" s="34">
        <v>14</v>
      </c>
      <c r="G49" s="34" t="s">
        <v>311</v>
      </c>
      <c r="H49" s="54">
        <v>45971</v>
      </c>
      <c r="I49" s="34" t="s">
        <v>312</v>
      </c>
      <c r="J49" s="34" t="s">
        <v>313</v>
      </c>
      <c r="K49" s="34" t="s">
        <v>314</v>
      </c>
      <c r="L49" s="35" t="s">
        <v>24</v>
      </c>
      <c r="M49" s="5">
        <f>COUNTIF($B$1:$B$1475, B49)</f>
        <v>23</v>
      </c>
      <c r="N49">
        <f>COUNTIF($H$2:$H$1465, H49)</f>
        <v>63</v>
      </c>
    </row>
    <row r="50" spans="1:14">
      <c r="A50" s="30" t="s">
        <v>315</v>
      </c>
      <c r="B50" s="31" t="s">
        <v>206</v>
      </c>
      <c r="C50" s="31" t="s">
        <v>58</v>
      </c>
      <c r="D50" s="31" t="s">
        <v>18</v>
      </c>
      <c r="E50" s="31" t="s">
        <v>59</v>
      </c>
      <c r="F50" s="31">
        <v>2</v>
      </c>
      <c r="G50" s="31" t="s">
        <v>60</v>
      </c>
      <c r="H50" s="53">
        <v>45971</v>
      </c>
      <c r="I50" s="31" t="s">
        <v>316</v>
      </c>
      <c r="J50" s="31" t="s">
        <v>317</v>
      </c>
      <c r="K50" s="31" t="s">
        <v>318</v>
      </c>
      <c r="L50" s="32" t="s">
        <v>24</v>
      </c>
      <c r="M50" s="5">
        <f>COUNTIF($B$1:$B$1475, B50)</f>
        <v>13</v>
      </c>
      <c r="N50" s="5">
        <f>COUNTIF($H$2:$H$1465, H50)</f>
        <v>63</v>
      </c>
    </row>
    <row r="51" spans="1:14">
      <c r="A51" s="33" t="s">
        <v>319</v>
      </c>
      <c r="B51" s="34" t="s">
        <v>320</v>
      </c>
      <c r="C51" s="34" t="s">
        <v>321</v>
      </c>
      <c r="D51" s="34" t="s">
        <v>18</v>
      </c>
      <c r="E51" s="34" t="s">
        <v>322</v>
      </c>
      <c r="F51" s="34">
        <v>12</v>
      </c>
      <c r="G51" s="34" t="s">
        <v>323</v>
      </c>
      <c r="H51" s="54">
        <v>45971</v>
      </c>
      <c r="I51" s="34" t="s">
        <v>324</v>
      </c>
      <c r="J51" s="34" t="s">
        <v>325</v>
      </c>
      <c r="K51" s="34" t="s">
        <v>326</v>
      </c>
      <c r="L51" s="35" t="s">
        <v>24</v>
      </c>
      <c r="M51" s="5">
        <f>COUNTIF($B$1:$B$1475, B51)</f>
        <v>4</v>
      </c>
      <c r="N51" s="5">
        <f>COUNTIF($H$2:$H$1465, H51)</f>
        <v>63</v>
      </c>
    </row>
    <row r="52" spans="1:14">
      <c r="A52" s="30" t="s">
        <v>327</v>
      </c>
      <c r="B52" s="31" t="s">
        <v>268</v>
      </c>
      <c r="C52" s="31" t="s">
        <v>269</v>
      </c>
      <c r="D52" s="31" t="s">
        <v>80</v>
      </c>
      <c r="E52" s="31" t="s">
        <v>50</v>
      </c>
      <c r="F52" s="31">
        <v>2</v>
      </c>
      <c r="G52" s="31" t="s">
        <v>112</v>
      </c>
      <c r="H52" s="53">
        <v>45971</v>
      </c>
      <c r="I52" s="31" t="s">
        <v>328</v>
      </c>
      <c r="J52" s="31" t="s">
        <v>329</v>
      </c>
      <c r="K52" s="31" t="s">
        <v>330</v>
      </c>
      <c r="L52" s="32" t="s">
        <v>24</v>
      </c>
      <c r="M52" s="5">
        <f>COUNTIF($B$1:$B$1475, B52)</f>
        <v>12</v>
      </c>
      <c r="N52" s="5">
        <f>COUNTIF($H$2:$H$1465, H52)</f>
        <v>63</v>
      </c>
    </row>
    <row r="53" spans="1:14">
      <c r="A53" s="33" t="s">
        <v>331</v>
      </c>
      <c r="B53" s="34" t="s">
        <v>268</v>
      </c>
      <c r="C53" s="34" t="s">
        <v>269</v>
      </c>
      <c r="D53" s="34" t="s">
        <v>80</v>
      </c>
      <c r="E53" s="34" t="s">
        <v>50</v>
      </c>
      <c r="F53" s="34">
        <v>2</v>
      </c>
      <c r="G53" s="34" t="s">
        <v>112</v>
      </c>
      <c r="H53" s="54">
        <v>45971</v>
      </c>
      <c r="I53" s="34" t="s">
        <v>332</v>
      </c>
      <c r="J53" s="34" t="s">
        <v>333</v>
      </c>
      <c r="K53" s="34" t="s">
        <v>334</v>
      </c>
      <c r="L53" s="35" t="s">
        <v>24</v>
      </c>
      <c r="M53" s="5">
        <f>COUNTIF($B$1:$B$1475, B53)</f>
        <v>12</v>
      </c>
      <c r="N53" s="5">
        <f>COUNTIF($H$2:$H$1465, H53)</f>
        <v>63</v>
      </c>
    </row>
    <row r="54" spans="1:14">
      <c r="A54" s="30" t="s">
        <v>335</v>
      </c>
      <c r="B54" s="31" t="s">
        <v>336</v>
      </c>
      <c r="C54" s="31" t="s">
        <v>337</v>
      </c>
      <c r="D54" s="31" t="s">
        <v>42</v>
      </c>
      <c r="E54" s="31" t="s">
        <v>120</v>
      </c>
      <c r="F54" s="31">
        <v>4</v>
      </c>
      <c r="G54" s="31" t="s">
        <v>126</v>
      </c>
      <c r="H54" s="53">
        <v>45971</v>
      </c>
      <c r="I54" s="31" t="s">
        <v>338</v>
      </c>
      <c r="J54" s="31" t="s">
        <v>339</v>
      </c>
      <c r="K54" s="31" t="s">
        <v>340</v>
      </c>
      <c r="L54" s="32" t="s">
        <v>24</v>
      </c>
      <c r="M54" s="5">
        <f>COUNTIF($B$1:$B$1475, B54)</f>
        <v>2</v>
      </c>
      <c r="N54" s="5">
        <f>COUNTIF($H$2:$H$1465, H54)</f>
        <v>63</v>
      </c>
    </row>
    <row r="55" spans="1:14">
      <c r="A55" s="33" t="s">
        <v>341</v>
      </c>
      <c r="B55" s="34" t="s">
        <v>65</v>
      </c>
      <c r="C55" s="34" t="s">
        <v>58</v>
      </c>
      <c r="D55" s="34" t="s">
        <v>42</v>
      </c>
      <c r="E55" s="34" t="s">
        <v>18</v>
      </c>
      <c r="F55" s="34">
        <v>2</v>
      </c>
      <c r="G55" s="34" t="s">
        <v>66</v>
      </c>
      <c r="H55" s="54">
        <v>45971</v>
      </c>
      <c r="I55" s="34" t="s">
        <v>342</v>
      </c>
      <c r="J55" s="34" t="s">
        <v>343</v>
      </c>
      <c r="K55" s="34" t="s">
        <v>344</v>
      </c>
      <c r="L55" s="35" t="s">
        <v>24</v>
      </c>
      <c r="M55" s="5">
        <f>COUNTIF($B$1:$B$1475, B55)</f>
        <v>35</v>
      </c>
      <c r="N55" s="5">
        <f>COUNTIF($H$2:$H$1465, H55)</f>
        <v>63</v>
      </c>
    </row>
    <row r="56" spans="1:14">
      <c r="A56" s="30" t="s">
        <v>345</v>
      </c>
      <c r="B56" s="31" t="s">
        <v>346</v>
      </c>
      <c r="C56" s="31" t="s">
        <v>347</v>
      </c>
      <c r="D56" s="31" t="s">
        <v>145</v>
      </c>
      <c r="E56" s="31" t="s">
        <v>145</v>
      </c>
      <c r="F56" s="31">
        <v>1</v>
      </c>
      <c r="G56" s="31" t="s">
        <v>145</v>
      </c>
      <c r="H56" s="53">
        <v>45971</v>
      </c>
      <c r="I56" s="31" t="s">
        <v>348</v>
      </c>
      <c r="J56" s="31" t="s">
        <v>349</v>
      </c>
      <c r="K56" s="31" t="s">
        <v>350</v>
      </c>
      <c r="L56" s="32" t="s">
        <v>24</v>
      </c>
      <c r="M56" s="5">
        <f>COUNTIF($B$1:$B$1475, B56)</f>
        <v>1</v>
      </c>
      <c r="N56" s="5">
        <f>COUNTIF($H$2:$H$1465, H56)</f>
        <v>63</v>
      </c>
    </row>
    <row r="57" spans="1:14">
      <c r="A57" s="33" t="s">
        <v>351</v>
      </c>
      <c r="B57" s="34" t="s">
        <v>352</v>
      </c>
      <c r="C57" s="34" t="s">
        <v>353</v>
      </c>
      <c r="D57" s="34" t="s">
        <v>59</v>
      </c>
      <c r="E57" s="34" t="s">
        <v>59</v>
      </c>
      <c r="F57" s="34">
        <v>2</v>
      </c>
      <c r="G57" s="34" t="s">
        <v>60</v>
      </c>
      <c r="H57" s="54">
        <v>45971</v>
      </c>
      <c r="I57" s="34" t="s">
        <v>354</v>
      </c>
      <c r="J57" s="34" t="s">
        <v>355</v>
      </c>
      <c r="K57" s="34" t="s">
        <v>356</v>
      </c>
      <c r="L57" s="35" t="s">
        <v>24</v>
      </c>
      <c r="M57" s="5">
        <f>COUNTIF($B$1:$B$1475, B57)</f>
        <v>9</v>
      </c>
      <c r="N57" s="5">
        <f>COUNTIF($H$2:$H$1465, H57)</f>
        <v>63</v>
      </c>
    </row>
    <row r="58" spans="1:14">
      <c r="A58" s="30" t="s">
        <v>357</v>
      </c>
      <c r="B58" s="31" t="s">
        <v>358</v>
      </c>
      <c r="C58" s="31" t="s">
        <v>359</v>
      </c>
      <c r="D58" s="31" t="s">
        <v>120</v>
      </c>
      <c r="E58" s="31" t="s">
        <v>360</v>
      </c>
      <c r="F58" s="31">
        <v>2</v>
      </c>
      <c r="G58" s="31" t="s">
        <v>361</v>
      </c>
      <c r="H58" s="53">
        <v>45971</v>
      </c>
      <c r="I58" s="31" t="s">
        <v>362</v>
      </c>
      <c r="J58" s="31" t="s">
        <v>363</v>
      </c>
      <c r="K58" s="31" t="s">
        <v>364</v>
      </c>
      <c r="L58" s="32" t="s">
        <v>24</v>
      </c>
      <c r="M58" s="5">
        <f>COUNTIF($B$1:$B$1475, B58)</f>
        <v>2</v>
      </c>
      <c r="N58" s="5">
        <f>COUNTIF($H$2:$H$1465, H58)</f>
        <v>63</v>
      </c>
    </row>
    <row r="59" spans="1:14">
      <c r="A59" s="33" t="s">
        <v>365</v>
      </c>
      <c r="B59" s="34" t="s">
        <v>366</v>
      </c>
      <c r="C59" s="34" t="s">
        <v>366</v>
      </c>
      <c r="D59" s="34" t="s">
        <v>19</v>
      </c>
      <c r="E59" s="34" t="s">
        <v>19</v>
      </c>
      <c r="F59" s="34">
        <v>1</v>
      </c>
      <c r="G59" s="34" t="s">
        <v>19</v>
      </c>
      <c r="H59" s="54">
        <v>45971</v>
      </c>
      <c r="I59" s="34" t="s">
        <v>367</v>
      </c>
      <c r="J59" s="34" t="s">
        <v>368</v>
      </c>
      <c r="K59" s="34" t="s">
        <v>369</v>
      </c>
      <c r="L59" s="35" t="s">
        <v>24</v>
      </c>
      <c r="M59" s="5">
        <f>COUNTIF($B$1:$B$1475, B59)</f>
        <v>5</v>
      </c>
      <c r="N59" s="5">
        <f>COUNTIF($H$2:$H$1465, H59)</f>
        <v>63</v>
      </c>
    </row>
    <row r="60" spans="1:14">
      <c r="A60" s="30" t="s">
        <v>370</v>
      </c>
      <c r="B60" s="31" t="s">
        <v>251</v>
      </c>
      <c r="C60" s="31" t="s">
        <v>252</v>
      </c>
      <c r="D60" s="31" t="s">
        <v>50</v>
      </c>
      <c r="E60" s="31" t="s">
        <v>50</v>
      </c>
      <c r="F60" s="31">
        <v>1</v>
      </c>
      <c r="G60" s="31" t="s">
        <v>50</v>
      </c>
      <c r="H60" s="53">
        <v>45971</v>
      </c>
      <c r="I60" s="31" t="s">
        <v>371</v>
      </c>
      <c r="J60" s="31" t="s">
        <v>372</v>
      </c>
      <c r="K60" s="31" t="s">
        <v>373</v>
      </c>
      <c r="L60" s="32" t="s">
        <v>24</v>
      </c>
      <c r="M60" s="5">
        <f>COUNTIF($B$1:$B$1475, B60)</f>
        <v>10</v>
      </c>
      <c r="N60" s="5">
        <f>COUNTIF($H$2:$H$1465, H60)</f>
        <v>63</v>
      </c>
    </row>
    <row r="61" spans="1:14">
      <c r="A61" s="33" t="s">
        <v>374</v>
      </c>
      <c r="B61" s="34" t="s">
        <v>251</v>
      </c>
      <c r="C61" s="34" t="s">
        <v>252</v>
      </c>
      <c r="D61" s="34" t="s">
        <v>50</v>
      </c>
      <c r="E61" s="34" t="s">
        <v>50</v>
      </c>
      <c r="F61" s="34">
        <v>1</v>
      </c>
      <c r="G61" s="34" t="s">
        <v>50</v>
      </c>
      <c r="H61" s="54">
        <v>45971</v>
      </c>
      <c r="I61" s="34" t="s">
        <v>375</v>
      </c>
      <c r="J61" s="34" t="s">
        <v>376</v>
      </c>
      <c r="K61" s="34" t="s">
        <v>377</v>
      </c>
      <c r="L61" s="35" t="s">
        <v>24</v>
      </c>
      <c r="M61" s="5">
        <f>COUNTIF($B$1:$B$1475, B61)</f>
        <v>10</v>
      </c>
      <c r="N61" s="5">
        <f>COUNTIF($H$2:$H$1465, H61)</f>
        <v>63</v>
      </c>
    </row>
    <row r="62" spans="1:14">
      <c r="A62" s="30" t="s">
        <v>378</v>
      </c>
      <c r="B62" s="31" t="s">
        <v>206</v>
      </c>
      <c r="C62" s="31" t="s">
        <v>58</v>
      </c>
      <c r="D62" s="31" t="s">
        <v>18</v>
      </c>
      <c r="E62" s="31" t="s">
        <v>59</v>
      </c>
      <c r="F62" s="31">
        <v>2</v>
      </c>
      <c r="G62" s="31" t="s">
        <v>60</v>
      </c>
      <c r="H62" s="53">
        <v>45971</v>
      </c>
      <c r="I62" s="31" t="s">
        <v>379</v>
      </c>
      <c r="J62" s="31" t="s">
        <v>380</v>
      </c>
      <c r="K62" s="31" t="s">
        <v>381</v>
      </c>
      <c r="L62" s="32" t="s">
        <v>24</v>
      </c>
      <c r="M62" s="5">
        <f>COUNTIF($B$1:$B$1475, B62)</f>
        <v>13</v>
      </c>
      <c r="N62" s="5">
        <f>COUNTIF($H$2:$H$1465, H62)</f>
        <v>63</v>
      </c>
    </row>
    <row r="63" spans="1:14">
      <c r="A63" s="33" t="s">
        <v>382</v>
      </c>
      <c r="B63" s="34" t="s">
        <v>165</v>
      </c>
      <c r="C63" s="34" t="s">
        <v>166</v>
      </c>
      <c r="D63" s="34" t="s">
        <v>18</v>
      </c>
      <c r="E63" s="34" t="s">
        <v>18</v>
      </c>
      <c r="F63" s="34">
        <v>1</v>
      </c>
      <c r="G63" s="34" t="s">
        <v>18</v>
      </c>
      <c r="H63" s="54">
        <v>45971</v>
      </c>
      <c r="I63" s="34" t="s">
        <v>383</v>
      </c>
      <c r="J63" s="34" t="s">
        <v>384</v>
      </c>
      <c r="K63" s="34" t="s">
        <v>385</v>
      </c>
      <c r="L63" s="35" t="s">
        <v>24</v>
      </c>
      <c r="M63" s="5">
        <f>COUNTIF($B$1:$B$1475, B63)</f>
        <v>3</v>
      </c>
      <c r="N63" s="5">
        <f>COUNTIF($H$2:$H$1465, H63)</f>
        <v>63</v>
      </c>
    </row>
    <row r="64" spans="1:14">
      <c r="A64" s="30" t="s">
        <v>386</v>
      </c>
      <c r="B64" s="31" t="s">
        <v>206</v>
      </c>
      <c r="C64" s="31" t="s">
        <v>58</v>
      </c>
      <c r="D64" s="31" t="s">
        <v>18</v>
      </c>
      <c r="E64" s="31" t="s">
        <v>59</v>
      </c>
      <c r="F64" s="31">
        <v>2</v>
      </c>
      <c r="G64" s="31" t="s">
        <v>60</v>
      </c>
      <c r="H64" s="53">
        <v>45971</v>
      </c>
      <c r="I64" s="31" t="s">
        <v>387</v>
      </c>
      <c r="J64" s="31" t="s">
        <v>388</v>
      </c>
      <c r="K64" s="31" t="s">
        <v>389</v>
      </c>
      <c r="L64" s="32" t="s">
        <v>24</v>
      </c>
      <c r="M64" s="5">
        <f>COUNTIF($B$1:$B$1475, B64)</f>
        <v>13</v>
      </c>
      <c r="N64" s="5">
        <f>COUNTIF($H$2:$H$1465, H64)</f>
        <v>63</v>
      </c>
    </row>
    <row r="65" spans="1:14">
      <c r="A65" s="33" t="s">
        <v>390</v>
      </c>
      <c r="B65" s="34" t="s">
        <v>65</v>
      </c>
      <c r="C65" s="34" t="s">
        <v>58</v>
      </c>
      <c r="D65" s="34" t="s">
        <v>42</v>
      </c>
      <c r="E65" s="34" t="s">
        <v>18</v>
      </c>
      <c r="F65" s="34">
        <v>2</v>
      </c>
      <c r="G65" s="34" t="s">
        <v>66</v>
      </c>
      <c r="H65" s="54">
        <v>45971</v>
      </c>
      <c r="I65" s="34" t="s">
        <v>391</v>
      </c>
      <c r="J65" s="34" t="s">
        <v>392</v>
      </c>
      <c r="K65" s="34" t="s">
        <v>230</v>
      </c>
      <c r="L65" s="35" t="s">
        <v>24</v>
      </c>
      <c r="M65" s="5">
        <f>COUNTIF($B$1:$B$1475, B65)</f>
        <v>35</v>
      </c>
      <c r="N65" s="5">
        <f>COUNTIF($H$2:$H$1465, H65)</f>
        <v>63</v>
      </c>
    </row>
    <row r="66" spans="1:14">
      <c r="A66" s="30" t="s">
        <v>393</v>
      </c>
      <c r="B66" s="31" t="s">
        <v>90</v>
      </c>
      <c r="C66" s="31" t="s">
        <v>91</v>
      </c>
      <c r="D66" s="31" t="s">
        <v>42</v>
      </c>
      <c r="E66" s="31" t="s">
        <v>42</v>
      </c>
      <c r="F66" s="31">
        <v>1</v>
      </c>
      <c r="G66" s="31" t="s">
        <v>42</v>
      </c>
      <c r="H66" s="53">
        <v>45971</v>
      </c>
      <c r="I66" s="31" t="s">
        <v>394</v>
      </c>
      <c r="J66" s="31" t="s">
        <v>395</v>
      </c>
      <c r="K66" s="31" t="s">
        <v>396</v>
      </c>
      <c r="L66" s="32" t="s">
        <v>24</v>
      </c>
      <c r="M66" s="5">
        <f>COUNTIF($B$1:$B$1475, B66)</f>
        <v>10</v>
      </c>
      <c r="N66" s="5">
        <f>COUNTIF($H$2:$H$1465, H66)</f>
        <v>63</v>
      </c>
    </row>
    <row r="67" spans="1:14">
      <c r="A67" s="33" t="s">
        <v>397</v>
      </c>
      <c r="B67" s="34" t="s">
        <v>352</v>
      </c>
      <c r="C67" s="34" t="s">
        <v>353</v>
      </c>
      <c r="D67" s="34" t="s">
        <v>119</v>
      </c>
      <c r="E67" s="34" t="s">
        <v>119</v>
      </c>
      <c r="F67" s="34">
        <v>2</v>
      </c>
      <c r="G67" s="34" t="s">
        <v>398</v>
      </c>
      <c r="H67" s="54">
        <v>45971</v>
      </c>
      <c r="I67" s="34" t="s">
        <v>399</v>
      </c>
      <c r="J67" s="34" t="s">
        <v>400</v>
      </c>
      <c r="K67" s="34" t="s">
        <v>401</v>
      </c>
      <c r="L67" s="35" t="s">
        <v>24</v>
      </c>
      <c r="M67" s="5">
        <f>COUNTIF($B$1:$B$1475, B67)</f>
        <v>9</v>
      </c>
      <c r="N67" s="5">
        <f>COUNTIF($H$2:$H$1465, H67)</f>
        <v>63</v>
      </c>
    </row>
    <row r="68" spans="1:14">
      <c r="A68" s="30" t="s">
        <v>402</v>
      </c>
      <c r="B68" s="31" t="s">
        <v>403</v>
      </c>
      <c r="C68" s="31" t="s">
        <v>404</v>
      </c>
      <c r="D68" s="31" t="s">
        <v>145</v>
      </c>
      <c r="E68" s="31" t="s">
        <v>145</v>
      </c>
      <c r="F68" s="31">
        <v>4</v>
      </c>
      <c r="G68" s="31" t="s">
        <v>405</v>
      </c>
      <c r="H68" s="53">
        <v>45971</v>
      </c>
      <c r="I68" s="31" t="s">
        <v>406</v>
      </c>
      <c r="J68" s="31" t="s">
        <v>407</v>
      </c>
      <c r="K68" s="31" t="s">
        <v>408</v>
      </c>
      <c r="L68" s="32" t="s">
        <v>24</v>
      </c>
      <c r="M68" s="5">
        <f>COUNTIF($B$1:$B$1475, B68)</f>
        <v>1</v>
      </c>
      <c r="N68" s="5">
        <f>COUNTIF($H$2:$H$1465, H68)</f>
        <v>63</v>
      </c>
    </row>
    <row r="69" spans="1:14">
      <c r="A69" s="33" t="s">
        <v>409</v>
      </c>
      <c r="B69" s="34" t="s">
        <v>366</v>
      </c>
      <c r="C69" s="34" t="s">
        <v>366</v>
      </c>
      <c r="D69" s="34" t="s">
        <v>19</v>
      </c>
      <c r="E69" s="34" t="s">
        <v>51</v>
      </c>
      <c r="F69" s="34">
        <v>2</v>
      </c>
      <c r="G69" s="34" t="s">
        <v>105</v>
      </c>
      <c r="H69" s="54">
        <v>45971</v>
      </c>
      <c r="I69" s="34" t="s">
        <v>410</v>
      </c>
      <c r="J69" s="34" t="s">
        <v>411</v>
      </c>
      <c r="K69" s="34" t="s">
        <v>412</v>
      </c>
      <c r="L69" s="35" t="s">
        <v>24</v>
      </c>
      <c r="M69" s="5">
        <f>COUNTIF($B$1:$B$1475, B69)</f>
        <v>5</v>
      </c>
      <c r="N69" s="5">
        <f>COUNTIF($H$2:$H$1465, H69)</f>
        <v>63</v>
      </c>
    </row>
    <row r="70" spans="1:14">
      <c r="A70" s="30" t="s">
        <v>413</v>
      </c>
      <c r="B70" s="31" t="s">
        <v>366</v>
      </c>
      <c r="C70" s="31" t="s">
        <v>366</v>
      </c>
      <c r="D70" s="31" t="s">
        <v>19</v>
      </c>
      <c r="E70" s="31" t="s">
        <v>19</v>
      </c>
      <c r="F70" s="31">
        <v>1</v>
      </c>
      <c r="G70" s="31" t="s">
        <v>19</v>
      </c>
      <c r="H70" s="53">
        <v>45971</v>
      </c>
      <c r="I70" s="31" t="s">
        <v>414</v>
      </c>
      <c r="J70" s="31" t="s">
        <v>415</v>
      </c>
      <c r="K70" s="31" t="s">
        <v>416</v>
      </c>
      <c r="L70" s="32" t="s">
        <v>24</v>
      </c>
      <c r="M70" s="5">
        <f>COUNTIF($B$1:$B$1475, B70)</f>
        <v>5</v>
      </c>
      <c r="N70" s="5">
        <f>COUNTIF($H$2:$H$1465, H70)</f>
        <v>63</v>
      </c>
    </row>
    <row r="71" spans="1:14">
      <c r="A71" s="33" t="s">
        <v>417</v>
      </c>
      <c r="B71" s="34" t="s">
        <v>103</v>
      </c>
      <c r="C71" s="34" t="s">
        <v>104</v>
      </c>
      <c r="D71" s="34" t="s">
        <v>19</v>
      </c>
      <c r="E71" s="34" t="s">
        <v>19</v>
      </c>
      <c r="F71" s="34">
        <v>1</v>
      </c>
      <c r="G71" s="34" t="s">
        <v>19</v>
      </c>
      <c r="H71" s="54">
        <v>45971</v>
      </c>
      <c r="I71" s="34" t="s">
        <v>418</v>
      </c>
      <c r="J71" s="34" t="s">
        <v>419</v>
      </c>
      <c r="K71" s="34" t="s">
        <v>420</v>
      </c>
      <c r="L71" s="35" t="s">
        <v>24</v>
      </c>
      <c r="M71" s="5">
        <f>COUNTIF($B$1:$B$1475, B71)</f>
        <v>17</v>
      </c>
      <c r="N71" s="5">
        <f>COUNTIF($H$2:$H$1465, H71)</f>
        <v>63</v>
      </c>
    </row>
    <row r="72" spans="1:14">
      <c r="A72" s="30" t="s">
        <v>421</v>
      </c>
      <c r="B72" s="31" t="s">
        <v>251</v>
      </c>
      <c r="C72" s="31" t="s">
        <v>252</v>
      </c>
      <c r="D72" s="31" t="s">
        <v>50</v>
      </c>
      <c r="E72" s="31" t="s">
        <v>50</v>
      </c>
      <c r="F72" s="31">
        <v>1</v>
      </c>
      <c r="G72" s="31" t="s">
        <v>50</v>
      </c>
      <c r="H72" s="53">
        <v>45971</v>
      </c>
      <c r="I72" s="31" t="s">
        <v>422</v>
      </c>
      <c r="J72" s="31" t="s">
        <v>423</v>
      </c>
      <c r="K72" s="31" t="s">
        <v>424</v>
      </c>
      <c r="L72" s="32" t="s">
        <v>24</v>
      </c>
      <c r="M72" s="5">
        <f>COUNTIF($B$1:$B$1475, B72)</f>
        <v>10</v>
      </c>
      <c r="N72" s="5">
        <f>COUNTIF($H$2:$H$1465, H72)</f>
        <v>63</v>
      </c>
    </row>
    <row r="73" spans="1:14">
      <c r="A73" s="33" t="s">
        <v>425</v>
      </c>
      <c r="B73" s="34" t="s">
        <v>251</v>
      </c>
      <c r="C73" s="34" t="s">
        <v>252</v>
      </c>
      <c r="D73" s="34" t="s">
        <v>50</v>
      </c>
      <c r="E73" s="34" t="s">
        <v>50</v>
      </c>
      <c r="F73" s="34">
        <v>1</v>
      </c>
      <c r="G73" s="34" t="s">
        <v>50</v>
      </c>
      <c r="H73" s="54">
        <v>45971</v>
      </c>
      <c r="I73" s="34" t="s">
        <v>426</v>
      </c>
      <c r="J73" s="34" t="s">
        <v>427</v>
      </c>
      <c r="K73" s="34" t="s">
        <v>428</v>
      </c>
      <c r="L73" s="35" t="s">
        <v>24</v>
      </c>
      <c r="M73" s="5">
        <f>COUNTIF($B$1:$B$1475, B73)</f>
        <v>10</v>
      </c>
      <c r="N73" s="5">
        <f>COUNTIF($H$2:$H$1465, H73)</f>
        <v>63</v>
      </c>
    </row>
    <row r="74" spans="1:14">
      <c r="A74" s="30" t="s">
        <v>429</v>
      </c>
      <c r="B74" s="31" t="s">
        <v>251</v>
      </c>
      <c r="C74" s="31" t="s">
        <v>252</v>
      </c>
      <c r="D74" s="31" t="s">
        <v>50</v>
      </c>
      <c r="E74" s="31" t="s">
        <v>50</v>
      </c>
      <c r="F74" s="31">
        <v>1</v>
      </c>
      <c r="G74" s="31" t="s">
        <v>50</v>
      </c>
      <c r="H74" s="53">
        <v>45971</v>
      </c>
      <c r="I74" s="31" t="s">
        <v>430</v>
      </c>
      <c r="J74" s="31" t="s">
        <v>431</v>
      </c>
      <c r="K74" s="31" t="s">
        <v>432</v>
      </c>
      <c r="L74" s="32" t="s">
        <v>24</v>
      </c>
      <c r="M74" s="5">
        <f>COUNTIF($B$1:$B$1475, B74)</f>
        <v>10</v>
      </c>
      <c r="N74" s="5">
        <f>COUNTIF($H$2:$H$1465, H74)</f>
        <v>63</v>
      </c>
    </row>
    <row r="75" spans="1:14">
      <c r="A75" s="33" t="s">
        <v>433</v>
      </c>
      <c r="B75" s="34" t="s">
        <v>251</v>
      </c>
      <c r="C75" s="34" t="s">
        <v>252</v>
      </c>
      <c r="D75" s="34" t="s">
        <v>50</v>
      </c>
      <c r="E75" s="34" t="s">
        <v>50</v>
      </c>
      <c r="F75" s="34">
        <v>1</v>
      </c>
      <c r="G75" s="34" t="s">
        <v>50</v>
      </c>
      <c r="H75" s="54">
        <v>45971</v>
      </c>
      <c r="I75" s="34" t="s">
        <v>434</v>
      </c>
      <c r="J75" s="34" t="s">
        <v>435</v>
      </c>
      <c r="K75" s="34" t="s">
        <v>436</v>
      </c>
      <c r="L75" s="35" t="s">
        <v>24</v>
      </c>
      <c r="M75" s="5">
        <f>COUNTIF($B$1:$B$1475, B75)</f>
        <v>10</v>
      </c>
      <c r="N75" s="5">
        <f>COUNTIF($H$2:$H$1465, H75)</f>
        <v>63</v>
      </c>
    </row>
    <row r="76" spans="1:14">
      <c r="A76" s="30" t="s">
        <v>437</v>
      </c>
      <c r="B76" s="31" t="s">
        <v>183</v>
      </c>
      <c r="C76" s="31" t="s">
        <v>184</v>
      </c>
      <c r="D76" s="31" t="s">
        <v>50</v>
      </c>
      <c r="E76" s="31" t="s">
        <v>50</v>
      </c>
      <c r="F76" s="31">
        <v>1</v>
      </c>
      <c r="G76" s="31" t="s">
        <v>50</v>
      </c>
      <c r="H76" s="53">
        <v>45971</v>
      </c>
      <c r="I76" s="31" t="s">
        <v>438</v>
      </c>
      <c r="J76" s="31" t="s">
        <v>439</v>
      </c>
      <c r="K76" s="31" t="s">
        <v>440</v>
      </c>
      <c r="L76" s="32" t="s">
        <v>24</v>
      </c>
      <c r="M76" s="5">
        <f>COUNTIF($B$1:$B$1475, B76)</f>
        <v>4</v>
      </c>
      <c r="N76" s="5">
        <f>COUNTIF($H$2:$H$1465, H76)</f>
        <v>63</v>
      </c>
    </row>
    <row r="77" spans="1:14">
      <c r="A77" s="33" t="s">
        <v>441</v>
      </c>
      <c r="B77" s="34" t="s">
        <v>442</v>
      </c>
      <c r="C77" s="34" t="s">
        <v>443</v>
      </c>
      <c r="D77" s="34" t="s">
        <v>80</v>
      </c>
      <c r="E77" s="34" t="s">
        <v>80</v>
      </c>
      <c r="F77" s="34">
        <v>1</v>
      </c>
      <c r="G77" s="34" t="s">
        <v>80</v>
      </c>
      <c r="H77" s="54">
        <v>45971</v>
      </c>
      <c r="I77" s="34" t="s">
        <v>444</v>
      </c>
      <c r="J77" s="34" t="s">
        <v>445</v>
      </c>
      <c r="K77" s="34" t="s">
        <v>446</v>
      </c>
      <c r="L77" s="35" t="s">
        <v>24</v>
      </c>
      <c r="M77" s="5">
        <f>COUNTIF($B$1:$B$1475, B77)</f>
        <v>3</v>
      </c>
      <c r="N77" s="5">
        <f>COUNTIF($H$2:$H$1465, H77)</f>
        <v>63</v>
      </c>
    </row>
    <row r="78" spans="1:14">
      <c r="A78" s="30" t="s">
        <v>447</v>
      </c>
      <c r="B78" s="31" t="s">
        <v>448</v>
      </c>
      <c r="C78" s="31" t="s">
        <v>449</v>
      </c>
      <c r="D78" s="31" t="s">
        <v>98</v>
      </c>
      <c r="E78" s="31" t="s">
        <v>73</v>
      </c>
      <c r="F78" s="31">
        <v>4</v>
      </c>
      <c r="G78" s="31" t="s">
        <v>450</v>
      </c>
      <c r="H78" s="53">
        <v>45971</v>
      </c>
      <c r="I78" s="31" t="s">
        <v>451</v>
      </c>
      <c r="J78" s="31" t="s">
        <v>452</v>
      </c>
      <c r="K78" s="31" t="s">
        <v>453</v>
      </c>
      <c r="L78" s="32" t="s">
        <v>24</v>
      </c>
      <c r="M78" s="5">
        <f>COUNTIF($B$1:$B$1475, B78)</f>
        <v>1</v>
      </c>
      <c r="N78" s="5">
        <f>COUNTIF($H$2:$H$1465, H78)</f>
        <v>63</v>
      </c>
    </row>
    <row r="79" spans="1:14">
      <c r="A79" s="33" t="s">
        <v>454</v>
      </c>
      <c r="B79" s="34" t="s">
        <v>455</v>
      </c>
      <c r="C79" s="34" t="s">
        <v>212</v>
      </c>
      <c r="D79" s="34" t="s">
        <v>239</v>
      </c>
      <c r="E79" s="34" t="s">
        <v>213</v>
      </c>
      <c r="F79" s="34">
        <v>2</v>
      </c>
      <c r="G79" s="34" t="s">
        <v>42</v>
      </c>
      <c r="H79" s="54">
        <v>45971</v>
      </c>
      <c r="I79" s="34" t="s">
        <v>456</v>
      </c>
      <c r="J79" s="34" t="s">
        <v>457</v>
      </c>
      <c r="K79" s="34" t="s">
        <v>458</v>
      </c>
      <c r="L79" s="35" t="s">
        <v>24</v>
      </c>
      <c r="M79" s="5">
        <f>COUNTIF($B$1:$B$1475, B79)</f>
        <v>2</v>
      </c>
      <c r="N79" s="5">
        <f>COUNTIF($H$2:$H$1465, H79)</f>
        <v>63</v>
      </c>
    </row>
    <row r="80" spans="1:14">
      <c r="A80" s="30" t="s">
        <v>459</v>
      </c>
      <c r="B80" s="31" t="s">
        <v>460</v>
      </c>
      <c r="C80" s="31" t="s">
        <v>461</v>
      </c>
      <c r="D80" s="31" t="s">
        <v>238</v>
      </c>
      <c r="E80" s="31" t="s">
        <v>42</v>
      </c>
      <c r="F80" s="31">
        <v>4</v>
      </c>
      <c r="G80" s="31" t="s">
        <v>462</v>
      </c>
      <c r="H80" s="53">
        <v>45971</v>
      </c>
      <c r="I80" s="31" t="s">
        <v>463</v>
      </c>
      <c r="J80" s="31" t="s">
        <v>464</v>
      </c>
      <c r="K80" s="31" t="s">
        <v>465</v>
      </c>
      <c r="L80" s="32" t="s">
        <v>24</v>
      </c>
      <c r="M80" s="5">
        <f>COUNTIF($B$1:$B$1475, B80)</f>
        <v>2</v>
      </c>
      <c r="N80" s="5">
        <f>COUNTIF($H$2:$H$1465, H80)</f>
        <v>63</v>
      </c>
    </row>
    <row r="81" spans="1:14">
      <c r="A81" s="33" t="s">
        <v>466</v>
      </c>
      <c r="B81" s="34" t="s">
        <v>245</v>
      </c>
      <c r="C81" s="34" t="s">
        <v>245</v>
      </c>
      <c r="D81" s="34" t="s">
        <v>467</v>
      </c>
      <c r="E81" s="34" t="s">
        <v>467</v>
      </c>
      <c r="F81" s="34">
        <v>1</v>
      </c>
      <c r="G81" s="34" t="s">
        <v>467</v>
      </c>
      <c r="H81" s="54">
        <v>45971</v>
      </c>
      <c r="I81" s="34" t="s">
        <v>468</v>
      </c>
      <c r="J81" s="34" t="s">
        <v>469</v>
      </c>
      <c r="K81" s="36"/>
      <c r="L81" s="35" t="s">
        <v>24</v>
      </c>
      <c r="M81" s="5">
        <f>COUNTIF($B$1:$B$1475, B81)</f>
        <v>2</v>
      </c>
      <c r="N81" s="5">
        <f>COUNTIF($H$2:$H$1465, H81)</f>
        <v>63</v>
      </c>
    </row>
    <row r="82" spans="1:14">
      <c r="A82" s="30" t="s">
        <v>470</v>
      </c>
      <c r="B82" s="31" t="s">
        <v>471</v>
      </c>
      <c r="C82" s="31" t="s">
        <v>472</v>
      </c>
      <c r="D82" s="31" t="s">
        <v>322</v>
      </c>
      <c r="E82" s="31" t="s">
        <v>92</v>
      </c>
      <c r="F82" s="31">
        <v>2</v>
      </c>
      <c r="G82" s="31" t="s">
        <v>473</v>
      </c>
      <c r="H82" s="53">
        <v>45971</v>
      </c>
      <c r="I82" s="31" t="s">
        <v>474</v>
      </c>
      <c r="J82" s="31" t="s">
        <v>475</v>
      </c>
      <c r="K82" s="31" t="s">
        <v>476</v>
      </c>
      <c r="L82" s="32" t="s">
        <v>24</v>
      </c>
      <c r="M82" s="5">
        <f>COUNTIF($B$1:$B$1475, B82)</f>
        <v>1</v>
      </c>
      <c r="N82" s="5">
        <f>COUNTIF($H$2:$H$1465, H82)</f>
        <v>63</v>
      </c>
    </row>
    <row r="83" spans="1:14">
      <c r="A83" s="33" t="s">
        <v>477</v>
      </c>
      <c r="B83" s="34" t="s">
        <v>478</v>
      </c>
      <c r="C83" s="34" t="s">
        <v>479</v>
      </c>
      <c r="D83" s="34" t="s">
        <v>480</v>
      </c>
      <c r="E83" s="34" t="s">
        <v>120</v>
      </c>
      <c r="F83" s="34">
        <v>2</v>
      </c>
      <c r="G83" s="34" t="s">
        <v>121</v>
      </c>
      <c r="H83" s="54">
        <v>45971</v>
      </c>
      <c r="I83" s="34" t="s">
        <v>481</v>
      </c>
      <c r="J83" s="34" t="s">
        <v>482</v>
      </c>
      <c r="K83" s="34" t="s">
        <v>483</v>
      </c>
      <c r="L83" s="35" t="s">
        <v>24</v>
      </c>
      <c r="M83" s="5">
        <f>COUNTIF($B$1:$B$1475, B83)</f>
        <v>5</v>
      </c>
      <c r="N83" s="5">
        <f>COUNTIF($H$2:$H$1465, H83)</f>
        <v>63</v>
      </c>
    </row>
    <row r="84" spans="1:14">
      <c r="A84" s="30" t="s">
        <v>484</v>
      </c>
      <c r="B84" s="31" t="s">
        <v>485</v>
      </c>
      <c r="C84" s="31" t="s">
        <v>486</v>
      </c>
      <c r="D84" s="31" t="s">
        <v>119</v>
      </c>
      <c r="E84" s="31" t="s">
        <v>119</v>
      </c>
      <c r="F84" s="31">
        <v>1</v>
      </c>
      <c r="G84" s="31" t="s">
        <v>119</v>
      </c>
      <c r="H84" s="53">
        <v>45971</v>
      </c>
      <c r="I84" s="31" t="s">
        <v>487</v>
      </c>
      <c r="J84" s="31" t="s">
        <v>488</v>
      </c>
      <c r="K84" s="31" t="s">
        <v>489</v>
      </c>
      <c r="L84" s="32" t="s">
        <v>24</v>
      </c>
      <c r="M84" s="5">
        <f>COUNTIF($B$1:$B$1475, B84)</f>
        <v>2</v>
      </c>
      <c r="N84" s="5">
        <f>COUNTIF($H$2:$H$1465, H84)</f>
        <v>63</v>
      </c>
    </row>
    <row r="85" spans="1:14">
      <c r="A85" s="33" t="s">
        <v>490</v>
      </c>
      <c r="B85" s="34" t="s">
        <v>491</v>
      </c>
      <c r="C85" s="34" t="s">
        <v>492</v>
      </c>
      <c r="D85" s="34" t="s">
        <v>493</v>
      </c>
      <c r="E85" s="34" t="s">
        <v>493</v>
      </c>
      <c r="F85" s="34">
        <v>1</v>
      </c>
      <c r="G85" s="34" t="s">
        <v>493</v>
      </c>
      <c r="H85" s="54">
        <v>45971</v>
      </c>
      <c r="I85" s="34" t="s">
        <v>494</v>
      </c>
      <c r="J85" s="34" t="s">
        <v>495</v>
      </c>
      <c r="K85" s="34" t="s">
        <v>496</v>
      </c>
      <c r="L85" s="35" t="s">
        <v>24</v>
      </c>
      <c r="M85" s="5">
        <f>COUNTIF($B$1:$B$1475, B85)</f>
        <v>2</v>
      </c>
      <c r="N85" s="5">
        <f>COUNTIF($H$2:$H$1465, H85)</f>
        <v>63</v>
      </c>
    </row>
    <row r="86" spans="1:14">
      <c r="A86" s="30" t="s">
        <v>497</v>
      </c>
      <c r="B86" s="31" t="s">
        <v>498</v>
      </c>
      <c r="C86" s="31" t="s">
        <v>499</v>
      </c>
      <c r="D86" s="31" t="s">
        <v>120</v>
      </c>
      <c r="E86" s="31" t="s">
        <v>120</v>
      </c>
      <c r="F86" s="31">
        <v>1</v>
      </c>
      <c r="G86" s="31" t="s">
        <v>120</v>
      </c>
      <c r="H86" s="53">
        <v>45971</v>
      </c>
      <c r="I86" s="31" t="s">
        <v>500</v>
      </c>
      <c r="J86" s="31" t="s">
        <v>501</v>
      </c>
      <c r="K86" s="31" t="s">
        <v>502</v>
      </c>
      <c r="L86" s="32" t="s">
        <v>24</v>
      </c>
      <c r="M86" s="5">
        <f>COUNTIF($B$1:$B$1475, B86)</f>
        <v>2</v>
      </c>
      <c r="N86" s="5">
        <f>COUNTIF($H$2:$H$1465, H86)</f>
        <v>63</v>
      </c>
    </row>
    <row r="87" spans="1:14">
      <c r="A87" s="33" t="s">
        <v>503</v>
      </c>
      <c r="B87" s="34" t="s">
        <v>504</v>
      </c>
      <c r="C87" s="34" t="s">
        <v>505</v>
      </c>
      <c r="D87" s="34" t="s">
        <v>120</v>
      </c>
      <c r="E87" s="34" t="s">
        <v>213</v>
      </c>
      <c r="F87" s="34">
        <v>4</v>
      </c>
      <c r="G87" s="34" t="s">
        <v>43</v>
      </c>
      <c r="H87" s="54">
        <v>45971</v>
      </c>
      <c r="I87" s="34" t="s">
        <v>506</v>
      </c>
      <c r="J87" s="34" t="s">
        <v>507</v>
      </c>
      <c r="K87" s="34" t="s">
        <v>508</v>
      </c>
      <c r="L87" s="35" t="s">
        <v>24</v>
      </c>
      <c r="M87" s="5">
        <f>COUNTIF($B$1:$B$1475, B87)</f>
        <v>3</v>
      </c>
      <c r="N87" s="5">
        <f>COUNTIF($H$2:$H$1465, H87)</f>
        <v>63</v>
      </c>
    </row>
    <row r="88" spans="1:14">
      <c r="A88" s="30" t="s">
        <v>509</v>
      </c>
      <c r="B88" s="31" t="s">
        <v>220</v>
      </c>
      <c r="C88" s="31" t="s">
        <v>221</v>
      </c>
      <c r="D88" s="31" t="s">
        <v>222</v>
      </c>
      <c r="E88" s="31" t="s">
        <v>222</v>
      </c>
      <c r="F88" s="31">
        <v>2</v>
      </c>
      <c r="G88" s="31" t="s">
        <v>510</v>
      </c>
      <c r="H88" s="53">
        <v>45971</v>
      </c>
      <c r="I88" s="31" t="s">
        <v>511</v>
      </c>
      <c r="J88" s="31" t="s">
        <v>512</v>
      </c>
      <c r="K88" s="31" t="s">
        <v>513</v>
      </c>
      <c r="L88" s="32" t="s">
        <v>24</v>
      </c>
      <c r="M88" s="5">
        <f>COUNTIF($B$1:$B$1475, B88)</f>
        <v>7</v>
      </c>
      <c r="N88" s="5">
        <f>COUNTIF($H$2:$H$1465, H88)</f>
        <v>63</v>
      </c>
    </row>
    <row r="89" spans="1:14">
      <c r="A89" s="33" t="s">
        <v>514</v>
      </c>
      <c r="B89" s="34" t="s">
        <v>220</v>
      </c>
      <c r="C89" s="34" t="s">
        <v>221</v>
      </c>
      <c r="D89" s="34" t="s">
        <v>222</v>
      </c>
      <c r="E89" s="34" t="s">
        <v>222</v>
      </c>
      <c r="F89" s="34">
        <v>2</v>
      </c>
      <c r="G89" s="34" t="s">
        <v>510</v>
      </c>
      <c r="H89" s="54">
        <v>45971</v>
      </c>
      <c r="I89" s="34" t="s">
        <v>515</v>
      </c>
      <c r="J89" s="34" t="s">
        <v>516</v>
      </c>
      <c r="K89" s="34" t="s">
        <v>517</v>
      </c>
      <c r="L89" s="35" t="s">
        <v>24</v>
      </c>
      <c r="M89" s="5">
        <f>COUNTIF($B$1:$B$1475, B89)</f>
        <v>7</v>
      </c>
      <c r="N89" s="5">
        <f>COUNTIF($H$2:$H$1465, H89)</f>
        <v>63</v>
      </c>
    </row>
    <row r="90" spans="1:14">
      <c r="A90" s="30" t="s">
        <v>518</v>
      </c>
      <c r="B90" s="31" t="s">
        <v>268</v>
      </c>
      <c r="C90" s="31" t="s">
        <v>269</v>
      </c>
      <c r="D90" s="31" t="s">
        <v>80</v>
      </c>
      <c r="E90" s="31" t="s">
        <v>50</v>
      </c>
      <c r="F90" s="31">
        <v>2</v>
      </c>
      <c r="G90" s="31" t="s">
        <v>112</v>
      </c>
      <c r="H90" s="53">
        <v>45971</v>
      </c>
      <c r="I90" s="31" t="s">
        <v>519</v>
      </c>
      <c r="J90" s="31" t="s">
        <v>520</v>
      </c>
      <c r="K90" s="31" t="s">
        <v>521</v>
      </c>
      <c r="L90" s="32" t="s">
        <v>24</v>
      </c>
      <c r="M90" s="5">
        <f>COUNTIF($B$1:$B$1475, B90)</f>
        <v>12</v>
      </c>
      <c r="N90" s="5">
        <f>COUNTIF($H$2:$H$1465, H90)</f>
        <v>63</v>
      </c>
    </row>
    <row r="91" spans="1:14">
      <c r="A91" s="33" t="s">
        <v>522</v>
      </c>
      <c r="B91" s="34" t="s">
        <v>523</v>
      </c>
      <c r="C91" s="34" t="s">
        <v>524</v>
      </c>
      <c r="D91" s="34" t="s">
        <v>98</v>
      </c>
      <c r="E91" s="34" t="s">
        <v>98</v>
      </c>
      <c r="F91" s="34">
        <v>1</v>
      </c>
      <c r="G91" s="34" t="s">
        <v>98</v>
      </c>
      <c r="H91" s="54">
        <v>45971</v>
      </c>
      <c r="I91" s="34" t="s">
        <v>525</v>
      </c>
      <c r="J91" s="34" t="s">
        <v>526</v>
      </c>
      <c r="K91" s="34" t="s">
        <v>527</v>
      </c>
      <c r="L91" s="35" t="s">
        <v>24</v>
      </c>
      <c r="M91" s="5">
        <f>COUNTIF($B$1:$B$1475, B91)</f>
        <v>1</v>
      </c>
      <c r="N91" s="5">
        <f>COUNTIF($H$2:$H$1465, H91)</f>
        <v>63</v>
      </c>
    </row>
    <row r="92" spans="1:14">
      <c r="A92" s="30" t="s">
        <v>528</v>
      </c>
      <c r="B92" s="31" t="s">
        <v>491</v>
      </c>
      <c r="C92" s="31" t="s">
        <v>492</v>
      </c>
      <c r="D92" s="31" t="s">
        <v>493</v>
      </c>
      <c r="E92" s="31" t="s">
        <v>493</v>
      </c>
      <c r="F92" s="31">
        <v>1</v>
      </c>
      <c r="G92" s="31" t="s">
        <v>493</v>
      </c>
      <c r="H92" s="53">
        <v>45971</v>
      </c>
      <c r="I92" s="31" t="s">
        <v>529</v>
      </c>
      <c r="J92" s="31" t="s">
        <v>530</v>
      </c>
      <c r="K92" s="31" t="s">
        <v>531</v>
      </c>
      <c r="L92" s="32" t="s">
        <v>24</v>
      </c>
      <c r="M92" s="5">
        <f>COUNTIF($B$1:$B$1475, B92)</f>
        <v>2</v>
      </c>
      <c r="N92" s="5">
        <f>COUNTIF($H$2:$H$1465, H92)</f>
        <v>63</v>
      </c>
    </row>
    <row r="93" spans="1:14">
      <c r="A93" s="33" t="s">
        <v>532</v>
      </c>
      <c r="B93" s="34" t="s">
        <v>251</v>
      </c>
      <c r="C93" s="34" t="s">
        <v>252</v>
      </c>
      <c r="D93" s="34" t="s">
        <v>50</v>
      </c>
      <c r="E93" s="34" t="s">
        <v>50</v>
      </c>
      <c r="F93" s="34">
        <v>1</v>
      </c>
      <c r="G93" s="34" t="s">
        <v>50</v>
      </c>
      <c r="H93" s="54">
        <v>45971</v>
      </c>
      <c r="I93" s="34" t="s">
        <v>533</v>
      </c>
      <c r="J93" s="34" t="s">
        <v>534</v>
      </c>
      <c r="K93" s="34" t="s">
        <v>535</v>
      </c>
      <c r="L93" s="35" t="s">
        <v>24</v>
      </c>
      <c r="M93" s="5">
        <f>COUNTIF($B$1:$B$1475, B93)</f>
        <v>10</v>
      </c>
      <c r="N93" s="5">
        <f>COUNTIF($H$2:$H$1465, H93)</f>
        <v>63</v>
      </c>
    </row>
    <row r="94" spans="1:14">
      <c r="A94" s="30" t="s">
        <v>536</v>
      </c>
      <c r="B94" s="31" t="s">
        <v>537</v>
      </c>
      <c r="C94" s="31" t="s">
        <v>538</v>
      </c>
      <c r="D94" s="31" t="s">
        <v>286</v>
      </c>
      <c r="E94" s="31" t="s">
        <v>539</v>
      </c>
      <c r="F94" s="31">
        <v>19</v>
      </c>
      <c r="G94" s="31" t="s">
        <v>540</v>
      </c>
      <c r="H94" s="53">
        <v>45971</v>
      </c>
      <c r="I94" s="31" t="s">
        <v>541</v>
      </c>
      <c r="J94" s="31" t="s">
        <v>542</v>
      </c>
      <c r="K94" s="31" t="s">
        <v>543</v>
      </c>
      <c r="L94" s="32" t="s">
        <v>24</v>
      </c>
      <c r="M94" s="5">
        <f>COUNTIF($B$1:$B$1475, B94)</f>
        <v>3</v>
      </c>
      <c r="N94" s="5">
        <f>COUNTIF($H$2:$H$1465, H94)</f>
        <v>63</v>
      </c>
    </row>
    <row r="95" spans="1:14">
      <c r="A95" s="33" t="s">
        <v>544</v>
      </c>
      <c r="B95" s="34" t="s">
        <v>545</v>
      </c>
      <c r="C95" s="34" t="s">
        <v>546</v>
      </c>
      <c r="D95" s="34" t="s">
        <v>50</v>
      </c>
      <c r="E95" s="34" t="s">
        <v>59</v>
      </c>
      <c r="F95" s="34">
        <v>2</v>
      </c>
      <c r="G95" s="34" t="s">
        <v>60</v>
      </c>
      <c r="H95" s="54">
        <v>45971</v>
      </c>
      <c r="I95" s="34" t="s">
        <v>547</v>
      </c>
      <c r="J95" s="34" t="s">
        <v>548</v>
      </c>
      <c r="K95" s="34" t="s">
        <v>549</v>
      </c>
      <c r="L95" s="35" t="s">
        <v>24</v>
      </c>
      <c r="M95" s="5">
        <f>COUNTIF($B$1:$B$1475, B95)</f>
        <v>1</v>
      </c>
      <c r="N95" s="5">
        <f>COUNTIF($H$2:$H$1465, H95)</f>
        <v>63</v>
      </c>
    </row>
    <row r="96" spans="1:14">
      <c r="A96" s="30" t="s">
        <v>550</v>
      </c>
      <c r="B96" s="31" t="s">
        <v>90</v>
      </c>
      <c r="C96" s="31" t="s">
        <v>91</v>
      </c>
      <c r="D96" s="31" t="s">
        <v>42</v>
      </c>
      <c r="E96" s="31" t="s">
        <v>42</v>
      </c>
      <c r="F96" s="31">
        <v>1</v>
      </c>
      <c r="G96" s="31" t="s">
        <v>42</v>
      </c>
      <c r="H96" s="53">
        <v>45971</v>
      </c>
      <c r="I96" s="31" t="s">
        <v>551</v>
      </c>
      <c r="J96" s="31" t="s">
        <v>552</v>
      </c>
      <c r="K96" s="31" t="s">
        <v>553</v>
      </c>
      <c r="L96" s="32" t="s">
        <v>24</v>
      </c>
      <c r="M96" s="5">
        <f>COUNTIF($B$1:$B$1475, B96)</f>
        <v>10</v>
      </c>
      <c r="N96" s="5">
        <f>COUNTIF($H$2:$H$1465, H96)</f>
        <v>63</v>
      </c>
    </row>
    <row r="97" spans="1:14">
      <c r="A97" s="33" t="s">
        <v>554</v>
      </c>
      <c r="B97" s="34" t="s">
        <v>555</v>
      </c>
      <c r="C97" s="34" t="s">
        <v>556</v>
      </c>
      <c r="D97" s="34" t="s">
        <v>557</v>
      </c>
      <c r="E97" s="34" t="s">
        <v>558</v>
      </c>
      <c r="F97" s="34">
        <v>10</v>
      </c>
      <c r="G97" s="34" t="s">
        <v>559</v>
      </c>
      <c r="H97" s="54">
        <v>45968</v>
      </c>
      <c r="I97" s="34" t="s">
        <v>560</v>
      </c>
      <c r="J97" s="34" t="s">
        <v>561</v>
      </c>
      <c r="K97" s="34" t="s">
        <v>562</v>
      </c>
      <c r="L97" s="35" t="s">
        <v>24</v>
      </c>
      <c r="M97" s="5">
        <f>COUNTIF($B$1:$B$1475, B97)</f>
        <v>8</v>
      </c>
      <c r="N97" s="5">
        <f>COUNTIF($H$2:$H$1465, H97)</f>
        <v>36</v>
      </c>
    </row>
    <row r="98" spans="1:14">
      <c r="A98" s="30" t="s">
        <v>563</v>
      </c>
      <c r="B98" s="31" t="s">
        <v>26</v>
      </c>
      <c r="C98" s="31" t="s">
        <v>27</v>
      </c>
      <c r="D98" s="31" t="s">
        <v>35</v>
      </c>
      <c r="E98" s="31" t="s">
        <v>35</v>
      </c>
      <c r="F98" s="31">
        <v>1</v>
      </c>
      <c r="G98" s="31" t="s">
        <v>35</v>
      </c>
      <c r="H98" s="53">
        <v>45968</v>
      </c>
      <c r="I98" s="31" t="s">
        <v>564</v>
      </c>
      <c r="J98" s="31" t="s">
        <v>565</v>
      </c>
      <c r="K98" s="31" t="s">
        <v>566</v>
      </c>
      <c r="L98" s="32" t="s">
        <v>24</v>
      </c>
      <c r="M98" s="5">
        <f>COUNTIF($B$1:$B$1475, B98)</f>
        <v>12</v>
      </c>
      <c r="N98" s="5">
        <f>COUNTIF($H$2:$H$1465, H98)</f>
        <v>36</v>
      </c>
    </row>
    <row r="99" spans="1:14">
      <c r="A99" s="33" t="s">
        <v>567</v>
      </c>
      <c r="B99" s="34" t="s">
        <v>103</v>
      </c>
      <c r="C99" s="34" t="s">
        <v>104</v>
      </c>
      <c r="D99" s="34" t="s">
        <v>19</v>
      </c>
      <c r="E99" s="34" t="s">
        <v>19</v>
      </c>
      <c r="F99" s="34">
        <v>1</v>
      </c>
      <c r="G99" s="34" t="s">
        <v>19</v>
      </c>
      <c r="H99" s="54">
        <v>45968</v>
      </c>
      <c r="I99" s="34" t="s">
        <v>568</v>
      </c>
      <c r="J99" s="34" t="s">
        <v>569</v>
      </c>
      <c r="K99" s="34" t="s">
        <v>570</v>
      </c>
      <c r="L99" s="35" t="s">
        <v>24</v>
      </c>
      <c r="M99" s="5">
        <f>COUNTIF($B$1:$B$1475, B99)</f>
        <v>17</v>
      </c>
      <c r="N99" s="5">
        <f>COUNTIF($H$2:$H$1465, H99)</f>
        <v>36</v>
      </c>
    </row>
    <row r="100" spans="1:14">
      <c r="A100" s="30" t="s">
        <v>571</v>
      </c>
      <c r="B100" s="31" t="s">
        <v>103</v>
      </c>
      <c r="C100" s="31" t="s">
        <v>104</v>
      </c>
      <c r="D100" s="31" t="s">
        <v>19</v>
      </c>
      <c r="E100" s="31" t="s">
        <v>19</v>
      </c>
      <c r="F100" s="31">
        <v>1</v>
      </c>
      <c r="G100" s="31" t="s">
        <v>19</v>
      </c>
      <c r="H100" s="53">
        <v>45968</v>
      </c>
      <c r="I100" s="31" t="s">
        <v>572</v>
      </c>
      <c r="J100" s="31" t="s">
        <v>573</v>
      </c>
      <c r="K100" s="31" t="s">
        <v>574</v>
      </c>
      <c r="L100" s="32" t="s">
        <v>24</v>
      </c>
      <c r="M100" s="5">
        <f>COUNTIF($B$1:$B$1475, B100)</f>
        <v>17</v>
      </c>
      <c r="N100" s="5">
        <f>COUNTIF($H$2:$H$1465, H100)</f>
        <v>36</v>
      </c>
    </row>
    <row r="101" spans="1:14">
      <c r="A101" s="33" t="s">
        <v>575</v>
      </c>
      <c r="B101" s="34" t="s">
        <v>352</v>
      </c>
      <c r="C101" s="34" t="s">
        <v>353</v>
      </c>
      <c r="D101" s="34" t="s">
        <v>120</v>
      </c>
      <c r="E101" s="34" t="s">
        <v>120</v>
      </c>
      <c r="F101" s="34">
        <v>1</v>
      </c>
      <c r="G101" s="34" t="s">
        <v>120</v>
      </c>
      <c r="H101" s="54">
        <v>45968</v>
      </c>
      <c r="I101" s="34" t="s">
        <v>576</v>
      </c>
      <c r="J101" s="34" t="s">
        <v>577</v>
      </c>
      <c r="K101" s="34" t="s">
        <v>578</v>
      </c>
      <c r="L101" s="35" t="s">
        <v>24</v>
      </c>
      <c r="M101" s="5">
        <f>COUNTIF($B$1:$B$1475, B101)</f>
        <v>9</v>
      </c>
      <c r="N101" s="5">
        <f>COUNTIF($H$2:$H$1465, H101)</f>
        <v>36</v>
      </c>
    </row>
    <row r="102" spans="1:14">
      <c r="A102" s="30" t="s">
        <v>579</v>
      </c>
      <c r="B102" s="31" t="s">
        <v>580</v>
      </c>
      <c r="C102" s="31" t="s">
        <v>581</v>
      </c>
      <c r="D102" s="31" t="s">
        <v>120</v>
      </c>
      <c r="E102" s="31" t="s">
        <v>120</v>
      </c>
      <c r="F102" s="31">
        <v>1</v>
      </c>
      <c r="G102" s="31" t="s">
        <v>120</v>
      </c>
      <c r="H102" s="53">
        <v>45968</v>
      </c>
      <c r="I102" s="31" t="s">
        <v>582</v>
      </c>
      <c r="J102" s="31" t="s">
        <v>583</v>
      </c>
      <c r="K102" s="31" t="s">
        <v>584</v>
      </c>
      <c r="L102" s="32" t="s">
        <v>24</v>
      </c>
      <c r="M102" s="5">
        <f>COUNTIF($B$1:$B$1475, B102)</f>
        <v>7</v>
      </c>
      <c r="N102" s="5">
        <f>COUNTIF($H$2:$H$1465, H102)</f>
        <v>36</v>
      </c>
    </row>
    <row r="103" spans="1:14">
      <c r="A103" s="33" t="s">
        <v>585</v>
      </c>
      <c r="B103" s="34" t="s">
        <v>580</v>
      </c>
      <c r="C103" s="34" t="s">
        <v>581</v>
      </c>
      <c r="D103" s="34" t="s">
        <v>586</v>
      </c>
      <c r="E103" s="34" t="s">
        <v>120</v>
      </c>
      <c r="F103" s="34">
        <v>2</v>
      </c>
      <c r="G103" s="34" t="s">
        <v>121</v>
      </c>
      <c r="H103" s="54">
        <v>45968</v>
      </c>
      <c r="I103" s="34" t="s">
        <v>587</v>
      </c>
      <c r="J103" s="34" t="s">
        <v>588</v>
      </c>
      <c r="K103" s="34" t="s">
        <v>589</v>
      </c>
      <c r="L103" s="35" t="s">
        <v>24</v>
      </c>
      <c r="M103" s="5">
        <f>COUNTIF($B$1:$B$1475, B103)</f>
        <v>7</v>
      </c>
      <c r="N103" s="5">
        <f>COUNTIF($H$2:$H$1465, H103)</f>
        <v>36</v>
      </c>
    </row>
    <row r="104" spans="1:14">
      <c r="A104" s="30" t="s">
        <v>590</v>
      </c>
      <c r="B104" s="31" t="s">
        <v>90</v>
      </c>
      <c r="C104" s="31" t="s">
        <v>91</v>
      </c>
      <c r="D104" s="31" t="s">
        <v>35</v>
      </c>
      <c r="E104" s="31" t="s">
        <v>119</v>
      </c>
      <c r="F104" s="31">
        <v>3</v>
      </c>
      <c r="G104" s="31" t="s">
        <v>591</v>
      </c>
      <c r="H104" s="53">
        <v>45968</v>
      </c>
      <c r="I104" s="31" t="s">
        <v>592</v>
      </c>
      <c r="J104" s="31" t="s">
        <v>593</v>
      </c>
      <c r="K104" s="31" t="s">
        <v>594</v>
      </c>
      <c r="L104" s="32" t="s">
        <v>24</v>
      </c>
      <c r="M104" s="5">
        <f>COUNTIF($B$1:$B$1475, B104)</f>
        <v>10</v>
      </c>
      <c r="N104" s="5">
        <f>COUNTIF($H$2:$H$1465, H104)</f>
        <v>36</v>
      </c>
    </row>
    <row r="105" spans="1:14">
      <c r="A105" s="33" t="s">
        <v>595</v>
      </c>
      <c r="B105" s="34" t="s">
        <v>26</v>
      </c>
      <c r="C105" s="34" t="s">
        <v>27</v>
      </c>
      <c r="D105" s="34" t="s">
        <v>35</v>
      </c>
      <c r="E105" s="34" t="s">
        <v>35</v>
      </c>
      <c r="F105" s="34">
        <v>1</v>
      </c>
      <c r="G105" s="34" t="s">
        <v>35</v>
      </c>
      <c r="H105" s="54">
        <v>45968</v>
      </c>
      <c r="I105" s="34" t="s">
        <v>596</v>
      </c>
      <c r="J105" s="34" t="s">
        <v>597</v>
      </c>
      <c r="K105" s="34" t="s">
        <v>598</v>
      </c>
      <c r="L105" s="35" t="s">
        <v>24</v>
      </c>
      <c r="M105" s="5">
        <f>COUNTIF($B$1:$B$1475, B105)</f>
        <v>12</v>
      </c>
      <c r="N105" s="5">
        <f>COUNTIF($H$2:$H$1465, H105)</f>
        <v>36</v>
      </c>
    </row>
    <row r="106" spans="1:14">
      <c r="A106" s="30" t="s">
        <v>599</v>
      </c>
      <c r="B106" s="31" t="s">
        <v>600</v>
      </c>
      <c r="C106" s="31" t="s">
        <v>601</v>
      </c>
      <c r="D106" s="31" t="s">
        <v>480</v>
      </c>
      <c r="E106" s="31" t="s">
        <v>480</v>
      </c>
      <c r="F106" s="31">
        <v>1</v>
      </c>
      <c r="G106" s="31" t="s">
        <v>480</v>
      </c>
      <c r="H106" s="53">
        <v>45968</v>
      </c>
      <c r="I106" s="31" t="s">
        <v>602</v>
      </c>
      <c r="J106" s="31" t="s">
        <v>603</v>
      </c>
      <c r="K106" s="31" t="s">
        <v>604</v>
      </c>
      <c r="L106" s="32" t="s">
        <v>24</v>
      </c>
      <c r="M106" s="5">
        <f>COUNTIF($B$1:$B$1475, B106)</f>
        <v>1</v>
      </c>
      <c r="N106" s="5">
        <f>COUNTIF($H$2:$H$1465, H106)</f>
        <v>36</v>
      </c>
    </row>
    <row r="107" spans="1:14">
      <c r="A107" s="33" t="s">
        <v>605</v>
      </c>
      <c r="B107" s="34" t="s">
        <v>606</v>
      </c>
      <c r="C107" s="34" t="s">
        <v>607</v>
      </c>
      <c r="D107" s="34" t="s">
        <v>42</v>
      </c>
      <c r="E107" s="34" t="s">
        <v>18</v>
      </c>
      <c r="F107" s="34">
        <v>2</v>
      </c>
      <c r="G107" s="34" t="s">
        <v>66</v>
      </c>
      <c r="H107" s="54">
        <v>45968</v>
      </c>
      <c r="I107" s="34" t="s">
        <v>608</v>
      </c>
      <c r="J107" s="34" t="s">
        <v>609</v>
      </c>
      <c r="K107" s="34" t="s">
        <v>610</v>
      </c>
      <c r="L107" s="35" t="s">
        <v>24</v>
      </c>
      <c r="M107" s="5">
        <f>COUNTIF($B$1:$B$1475, B107)</f>
        <v>4</v>
      </c>
      <c r="N107" s="5">
        <f>COUNTIF($H$2:$H$1465, H107)</f>
        <v>36</v>
      </c>
    </row>
    <row r="108" spans="1:14">
      <c r="A108" s="30" t="s">
        <v>611</v>
      </c>
      <c r="B108" s="31" t="s">
        <v>65</v>
      </c>
      <c r="C108" s="31" t="s">
        <v>58</v>
      </c>
      <c r="D108" s="31" t="s">
        <v>42</v>
      </c>
      <c r="E108" s="31" t="s">
        <v>18</v>
      </c>
      <c r="F108" s="31">
        <v>2</v>
      </c>
      <c r="G108" s="31" t="s">
        <v>66</v>
      </c>
      <c r="H108" s="53">
        <v>45968</v>
      </c>
      <c r="I108" s="31" t="s">
        <v>612</v>
      </c>
      <c r="J108" s="31" t="s">
        <v>613</v>
      </c>
      <c r="K108" s="31" t="s">
        <v>614</v>
      </c>
      <c r="L108" s="32" t="s">
        <v>24</v>
      </c>
      <c r="M108" s="5">
        <f>COUNTIF($B$1:$B$1475, B108)</f>
        <v>35</v>
      </c>
      <c r="N108" s="5">
        <f>COUNTIF($H$2:$H$1465, H108)</f>
        <v>36</v>
      </c>
    </row>
    <row r="109" spans="1:14">
      <c r="A109" s="33" t="s">
        <v>615</v>
      </c>
      <c r="B109" s="34" t="s">
        <v>103</v>
      </c>
      <c r="C109" s="34" t="s">
        <v>104</v>
      </c>
      <c r="D109" s="34" t="s">
        <v>19</v>
      </c>
      <c r="E109" s="34" t="s">
        <v>19</v>
      </c>
      <c r="F109" s="34">
        <v>1</v>
      </c>
      <c r="G109" s="34" t="s">
        <v>19</v>
      </c>
      <c r="H109" s="54">
        <v>45968</v>
      </c>
      <c r="I109" s="34" t="s">
        <v>616</v>
      </c>
      <c r="J109" s="34" t="s">
        <v>617</v>
      </c>
      <c r="K109" s="34" t="s">
        <v>618</v>
      </c>
      <c r="L109" s="35" t="s">
        <v>24</v>
      </c>
      <c r="M109" s="5">
        <f>COUNTIF($B$1:$B$1475, B109)</f>
        <v>17</v>
      </c>
      <c r="N109" s="5">
        <f>COUNTIF($H$2:$H$1465, H109)</f>
        <v>36</v>
      </c>
    </row>
    <row r="110" spans="1:14">
      <c r="A110" s="30" t="s">
        <v>619</v>
      </c>
      <c r="B110" s="31" t="s">
        <v>580</v>
      </c>
      <c r="C110" s="31" t="s">
        <v>581</v>
      </c>
      <c r="D110" s="31" t="s">
        <v>120</v>
      </c>
      <c r="E110" s="31" t="s">
        <v>120</v>
      </c>
      <c r="F110" s="31">
        <v>1</v>
      </c>
      <c r="G110" s="31" t="s">
        <v>120</v>
      </c>
      <c r="H110" s="53">
        <v>45968</v>
      </c>
      <c r="I110" s="31" t="s">
        <v>620</v>
      </c>
      <c r="J110" s="31" t="s">
        <v>621</v>
      </c>
      <c r="K110" s="31" t="s">
        <v>622</v>
      </c>
      <c r="L110" s="32" t="s">
        <v>24</v>
      </c>
      <c r="M110" s="5">
        <f>COUNTIF($B$1:$B$1475, B110)</f>
        <v>7</v>
      </c>
      <c r="N110" s="5">
        <f>COUNTIF($H$2:$H$1465, H110)</f>
        <v>36</v>
      </c>
    </row>
    <row r="111" spans="1:14">
      <c r="A111" s="33" t="s">
        <v>623</v>
      </c>
      <c r="B111" s="34" t="s">
        <v>624</v>
      </c>
      <c r="C111" s="34" t="s">
        <v>625</v>
      </c>
      <c r="D111" s="34" t="s">
        <v>18</v>
      </c>
      <c r="E111" s="34" t="s">
        <v>626</v>
      </c>
      <c r="F111" s="34">
        <v>2</v>
      </c>
      <c r="G111" s="34" t="s">
        <v>18</v>
      </c>
      <c r="H111" s="54">
        <v>45968</v>
      </c>
      <c r="I111" s="34" t="s">
        <v>627</v>
      </c>
      <c r="J111" s="34" t="s">
        <v>628</v>
      </c>
      <c r="K111" s="34" t="s">
        <v>629</v>
      </c>
      <c r="L111" s="35" t="s">
        <v>24</v>
      </c>
      <c r="M111" s="5">
        <f>COUNTIF($B$1:$B$1475, B111)</f>
        <v>1</v>
      </c>
      <c r="N111" s="5">
        <f>COUNTIF($H$2:$H$1465, H111)</f>
        <v>36</v>
      </c>
    </row>
    <row r="112" spans="1:14">
      <c r="A112" s="30" t="s">
        <v>630</v>
      </c>
      <c r="B112" s="31" t="s">
        <v>631</v>
      </c>
      <c r="C112" s="31" t="s">
        <v>632</v>
      </c>
      <c r="D112" s="31" t="s">
        <v>42</v>
      </c>
      <c r="E112" s="31" t="s">
        <v>50</v>
      </c>
      <c r="F112" s="31">
        <v>2</v>
      </c>
      <c r="G112" s="31" t="s">
        <v>112</v>
      </c>
      <c r="H112" s="53">
        <v>45968</v>
      </c>
      <c r="I112" s="31" t="s">
        <v>633</v>
      </c>
      <c r="J112" s="31" t="s">
        <v>634</v>
      </c>
      <c r="K112" s="31" t="s">
        <v>635</v>
      </c>
      <c r="L112" s="32" t="s">
        <v>24</v>
      </c>
      <c r="M112" s="5">
        <f>COUNTIF($B$1:$B$1475, B112)</f>
        <v>5</v>
      </c>
      <c r="N112" s="5">
        <f>COUNTIF($H$2:$H$1465, H112)</f>
        <v>36</v>
      </c>
    </row>
    <row r="113" spans="1:14">
      <c r="A113" s="33" t="s">
        <v>636</v>
      </c>
      <c r="B113" s="34" t="s">
        <v>631</v>
      </c>
      <c r="C113" s="34" t="s">
        <v>632</v>
      </c>
      <c r="D113" s="34" t="s">
        <v>42</v>
      </c>
      <c r="E113" s="34" t="s">
        <v>50</v>
      </c>
      <c r="F113" s="34">
        <v>2</v>
      </c>
      <c r="G113" s="34" t="s">
        <v>112</v>
      </c>
      <c r="H113" s="54">
        <v>45968</v>
      </c>
      <c r="I113" s="34" t="s">
        <v>637</v>
      </c>
      <c r="J113" s="34" t="s">
        <v>638</v>
      </c>
      <c r="K113" s="34" t="s">
        <v>639</v>
      </c>
      <c r="L113" s="35" t="s">
        <v>24</v>
      </c>
      <c r="M113" s="5">
        <f>COUNTIF($B$1:$B$1475, B113)</f>
        <v>5</v>
      </c>
      <c r="N113" s="5">
        <f>COUNTIF($H$2:$H$1465, H113)</f>
        <v>36</v>
      </c>
    </row>
    <row r="114" spans="1:14">
      <c r="A114" s="30" t="s">
        <v>640</v>
      </c>
      <c r="B114" s="31" t="s">
        <v>641</v>
      </c>
      <c r="C114" s="31" t="s">
        <v>642</v>
      </c>
      <c r="D114" s="31" t="s">
        <v>73</v>
      </c>
      <c r="E114" s="31" t="s">
        <v>73</v>
      </c>
      <c r="F114" s="31">
        <v>1</v>
      </c>
      <c r="G114" s="31" t="s">
        <v>73</v>
      </c>
      <c r="H114" s="53">
        <v>45968</v>
      </c>
      <c r="I114" s="31" t="s">
        <v>643</v>
      </c>
      <c r="J114" s="31" t="s">
        <v>644</v>
      </c>
      <c r="K114" s="31" t="s">
        <v>645</v>
      </c>
      <c r="L114" s="32" t="s">
        <v>24</v>
      </c>
      <c r="M114" s="5">
        <f>COUNTIF($B$1:$B$1475, B114)</f>
        <v>3</v>
      </c>
      <c r="N114" s="5">
        <f>COUNTIF($H$2:$H$1465, H114)</f>
        <v>36</v>
      </c>
    </row>
    <row r="115" spans="1:14">
      <c r="A115" s="33" t="s">
        <v>646</v>
      </c>
      <c r="B115" s="34" t="s">
        <v>26</v>
      </c>
      <c r="C115" s="34" t="s">
        <v>27</v>
      </c>
      <c r="D115" s="34" t="s">
        <v>35</v>
      </c>
      <c r="E115" s="34" t="s">
        <v>35</v>
      </c>
      <c r="F115" s="34">
        <v>1</v>
      </c>
      <c r="G115" s="34" t="s">
        <v>35</v>
      </c>
      <c r="H115" s="54">
        <v>45968</v>
      </c>
      <c r="I115" s="34" t="s">
        <v>647</v>
      </c>
      <c r="J115" s="34" t="s">
        <v>648</v>
      </c>
      <c r="K115" s="34" t="s">
        <v>649</v>
      </c>
      <c r="L115" s="35" t="s">
        <v>24</v>
      </c>
      <c r="M115" s="5">
        <f>COUNTIF($B$1:$B$1475, B115)</f>
        <v>12</v>
      </c>
      <c r="N115" s="5">
        <f>COUNTIF($H$2:$H$1465, H115)</f>
        <v>36</v>
      </c>
    </row>
    <row r="116" spans="1:14">
      <c r="A116" s="30" t="s">
        <v>650</v>
      </c>
      <c r="B116" s="31" t="s">
        <v>90</v>
      </c>
      <c r="C116" s="31" t="s">
        <v>91</v>
      </c>
      <c r="D116" s="31" t="s">
        <v>35</v>
      </c>
      <c r="E116" s="31" t="s">
        <v>59</v>
      </c>
      <c r="F116" s="31">
        <v>4</v>
      </c>
      <c r="G116" s="31" t="s">
        <v>651</v>
      </c>
      <c r="H116" s="53">
        <v>45968</v>
      </c>
      <c r="I116" s="31" t="s">
        <v>652</v>
      </c>
      <c r="J116" s="31" t="s">
        <v>653</v>
      </c>
      <c r="K116" s="31" t="s">
        <v>654</v>
      </c>
      <c r="L116" s="32" t="s">
        <v>24</v>
      </c>
      <c r="M116" s="5">
        <f>COUNTIF($B$1:$B$1475, B116)</f>
        <v>10</v>
      </c>
      <c r="N116" s="5">
        <f>COUNTIF($H$2:$H$1465, H116)</f>
        <v>36</v>
      </c>
    </row>
    <row r="117" spans="1:14">
      <c r="A117" s="33" t="s">
        <v>655</v>
      </c>
      <c r="B117" s="34" t="s">
        <v>478</v>
      </c>
      <c r="C117" s="34" t="s">
        <v>479</v>
      </c>
      <c r="D117" s="34" t="s">
        <v>28</v>
      </c>
      <c r="E117" s="34" t="s">
        <v>119</v>
      </c>
      <c r="F117" s="34">
        <v>2</v>
      </c>
      <c r="G117" s="34" t="s">
        <v>398</v>
      </c>
      <c r="H117" s="54">
        <v>45968</v>
      </c>
      <c r="I117" s="34" t="s">
        <v>656</v>
      </c>
      <c r="J117" s="34" t="s">
        <v>657</v>
      </c>
      <c r="K117" s="34" t="s">
        <v>658</v>
      </c>
      <c r="L117" s="35" t="s">
        <v>24</v>
      </c>
      <c r="M117" s="5">
        <f>COUNTIF($B$1:$B$1475, B117)</f>
        <v>5</v>
      </c>
      <c r="N117" s="5">
        <f>COUNTIF($H$2:$H$1465, H117)</f>
        <v>36</v>
      </c>
    </row>
    <row r="118" spans="1:14">
      <c r="A118" s="30" t="s">
        <v>659</v>
      </c>
      <c r="B118" s="31" t="s">
        <v>660</v>
      </c>
      <c r="C118" s="31" t="s">
        <v>661</v>
      </c>
      <c r="D118" s="31" t="s">
        <v>19</v>
      </c>
      <c r="E118" s="31" t="s">
        <v>662</v>
      </c>
      <c r="F118" s="31">
        <v>20</v>
      </c>
      <c r="G118" s="31" t="s">
        <v>663</v>
      </c>
      <c r="H118" s="53">
        <v>45968</v>
      </c>
      <c r="I118" s="31" t="s">
        <v>664</v>
      </c>
      <c r="J118" s="31" t="s">
        <v>665</v>
      </c>
      <c r="K118" s="31" t="s">
        <v>666</v>
      </c>
      <c r="L118" s="32" t="s">
        <v>24</v>
      </c>
      <c r="M118" s="5">
        <f>COUNTIF($B$1:$B$1475, B118)</f>
        <v>1</v>
      </c>
      <c r="N118" s="5">
        <f>COUNTIF($H$2:$H$1465, H118)</f>
        <v>36</v>
      </c>
    </row>
    <row r="119" spans="1:14">
      <c r="A119" s="33" t="s">
        <v>667</v>
      </c>
      <c r="B119" s="34" t="s">
        <v>103</v>
      </c>
      <c r="C119" s="34" t="s">
        <v>104</v>
      </c>
      <c r="D119" s="34" t="s">
        <v>19</v>
      </c>
      <c r="E119" s="34" t="s">
        <v>19</v>
      </c>
      <c r="F119" s="34">
        <v>1</v>
      </c>
      <c r="G119" s="34" t="s">
        <v>19</v>
      </c>
      <c r="H119" s="54">
        <v>45968</v>
      </c>
      <c r="I119" s="34" t="s">
        <v>668</v>
      </c>
      <c r="J119" s="34" t="s">
        <v>669</v>
      </c>
      <c r="K119" s="34" t="s">
        <v>670</v>
      </c>
      <c r="L119" s="35" t="s">
        <v>24</v>
      </c>
      <c r="M119" s="5">
        <f>COUNTIF($B$1:$B$1475, B119)</f>
        <v>17</v>
      </c>
      <c r="N119" s="5">
        <f>COUNTIF($H$2:$H$1465, H119)</f>
        <v>36</v>
      </c>
    </row>
    <row r="120" spans="1:14">
      <c r="A120" s="30" t="s">
        <v>671</v>
      </c>
      <c r="B120" s="31" t="s">
        <v>580</v>
      </c>
      <c r="C120" s="31" t="s">
        <v>581</v>
      </c>
      <c r="D120" s="31" t="s">
        <v>120</v>
      </c>
      <c r="E120" s="31" t="s">
        <v>120</v>
      </c>
      <c r="F120" s="31">
        <v>1</v>
      </c>
      <c r="G120" s="31" t="s">
        <v>120</v>
      </c>
      <c r="H120" s="53">
        <v>45968</v>
      </c>
      <c r="I120" s="31" t="s">
        <v>672</v>
      </c>
      <c r="J120" s="31" t="s">
        <v>673</v>
      </c>
      <c r="K120" s="31" t="s">
        <v>674</v>
      </c>
      <c r="L120" s="32" t="s">
        <v>24</v>
      </c>
      <c r="M120" s="5">
        <f>COUNTIF($B$1:$B$1475, B120)</f>
        <v>7</v>
      </c>
      <c r="N120" s="5">
        <f>COUNTIF($H$2:$H$1465, H120)</f>
        <v>36</v>
      </c>
    </row>
    <row r="121" spans="1:14">
      <c r="A121" s="33" t="s">
        <v>675</v>
      </c>
      <c r="B121" s="34" t="s">
        <v>206</v>
      </c>
      <c r="C121" s="34" t="s">
        <v>58</v>
      </c>
      <c r="D121" s="34" t="s">
        <v>18</v>
      </c>
      <c r="E121" s="34" t="s">
        <v>59</v>
      </c>
      <c r="F121" s="34">
        <v>2</v>
      </c>
      <c r="G121" s="34" t="s">
        <v>60</v>
      </c>
      <c r="H121" s="54">
        <v>45968</v>
      </c>
      <c r="I121" s="34" t="s">
        <v>676</v>
      </c>
      <c r="J121" s="34" t="s">
        <v>677</v>
      </c>
      <c r="K121" s="34" t="s">
        <v>678</v>
      </c>
      <c r="L121" s="35" t="s">
        <v>24</v>
      </c>
      <c r="M121" s="5">
        <f>COUNTIF($B$1:$B$1475, B121)</f>
        <v>13</v>
      </c>
      <c r="N121" s="5">
        <f>COUNTIF($H$2:$H$1465, H121)</f>
        <v>36</v>
      </c>
    </row>
    <row r="122" spans="1:14">
      <c r="A122" s="30" t="s">
        <v>679</v>
      </c>
      <c r="B122" s="31" t="s">
        <v>206</v>
      </c>
      <c r="C122" s="31" t="s">
        <v>58</v>
      </c>
      <c r="D122" s="31" t="s">
        <v>18</v>
      </c>
      <c r="E122" s="31" t="s">
        <v>59</v>
      </c>
      <c r="F122" s="31">
        <v>2</v>
      </c>
      <c r="G122" s="31" t="s">
        <v>60</v>
      </c>
      <c r="H122" s="53">
        <v>45968</v>
      </c>
      <c r="I122" s="31" t="s">
        <v>680</v>
      </c>
      <c r="J122" s="31" t="s">
        <v>681</v>
      </c>
      <c r="K122" s="31" t="s">
        <v>682</v>
      </c>
      <c r="L122" s="32" t="s">
        <v>24</v>
      </c>
      <c r="M122" s="5">
        <f>COUNTIF($B$1:$B$1475, B122)</f>
        <v>13</v>
      </c>
      <c r="N122" s="5">
        <f>COUNTIF($H$2:$H$1465, H122)</f>
        <v>36</v>
      </c>
    </row>
    <row r="123" spans="1:14">
      <c r="A123" s="33" t="s">
        <v>683</v>
      </c>
      <c r="B123" s="34" t="s">
        <v>684</v>
      </c>
      <c r="C123" s="34" t="s">
        <v>685</v>
      </c>
      <c r="D123" s="34" t="s">
        <v>80</v>
      </c>
      <c r="E123" s="34" t="s">
        <v>80</v>
      </c>
      <c r="F123" s="34">
        <v>1</v>
      </c>
      <c r="G123" s="34" t="s">
        <v>80</v>
      </c>
      <c r="H123" s="54">
        <v>45968</v>
      </c>
      <c r="I123" s="34" t="s">
        <v>686</v>
      </c>
      <c r="J123" s="34" t="s">
        <v>687</v>
      </c>
      <c r="K123" s="34" t="s">
        <v>688</v>
      </c>
      <c r="L123" s="35" t="s">
        <v>24</v>
      </c>
      <c r="M123" s="5">
        <f>COUNTIF($B$1:$B$1475, B123)</f>
        <v>2</v>
      </c>
      <c r="N123" s="5">
        <f>COUNTIF($H$2:$H$1465, H123)</f>
        <v>36</v>
      </c>
    </row>
    <row r="124" spans="1:14">
      <c r="A124" s="30" t="s">
        <v>689</v>
      </c>
      <c r="B124" s="31" t="s">
        <v>33</v>
      </c>
      <c r="C124" s="31" t="s">
        <v>34</v>
      </c>
      <c r="D124" s="31" t="s">
        <v>35</v>
      </c>
      <c r="E124" s="31" t="s">
        <v>35</v>
      </c>
      <c r="F124" s="31">
        <v>1</v>
      </c>
      <c r="G124" s="31" t="s">
        <v>35</v>
      </c>
      <c r="H124" s="53">
        <v>45968</v>
      </c>
      <c r="I124" s="31" t="s">
        <v>690</v>
      </c>
      <c r="J124" s="31" t="s">
        <v>691</v>
      </c>
      <c r="K124" s="31" t="s">
        <v>692</v>
      </c>
      <c r="L124" s="32" t="s">
        <v>24</v>
      </c>
      <c r="M124" s="5">
        <f>COUNTIF($B$1:$B$1475, B124)</f>
        <v>9</v>
      </c>
      <c r="N124" s="5">
        <f>COUNTIF($H$2:$H$1465, H124)</f>
        <v>36</v>
      </c>
    </row>
    <row r="125" spans="1:14">
      <c r="A125" s="33" t="s">
        <v>693</v>
      </c>
      <c r="B125" s="34" t="s">
        <v>694</v>
      </c>
      <c r="C125" s="34" t="s">
        <v>695</v>
      </c>
      <c r="D125" s="34" t="s">
        <v>120</v>
      </c>
      <c r="E125" s="34" t="s">
        <v>120</v>
      </c>
      <c r="F125" s="34">
        <v>1</v>
      </c>
      <c r="G125" s="34" t="s">
        <v>120</v>
      </c>
      <c r="H125" s="54">
        <v>45968</v>
      </c>
      <c r="I125" s="34" t="s">
        <v>696</v>
      </c>
      <c r="J125" s="34" t="s">
        <v>697</v>
      </c>
      <c r="K125" s="34" t="s">
        <v>698</v>
      </c>
      <c r="L125" s="35" t="s">
        <v>24</v>
      </c>
      <c r="M125" s="5">
        <f>COUNTIF($B$1:$B$1475, B125)</f>
        <v>2</v>
      </c>
      <c r="N125" s="5">
        <f>COUNTIF($H$2:$H$1465, H125)</f>
        <v>36</v>
      </c>
    </row>
    <row r="126" spans="1:14">
      <c r="A126" s="30" t="s">
        <v>699</v>
      </c>
      <c r="B126" s="31" t="s">
        <v>700</v>
      </c>
      <c r="C126" s="31" t="s">
        <v>701</v>
      </c>
      <c r="D126" s="31" t="s">
        <v>73</v>
      </c>
      <c r="E126" s="31" t="s">
        <v>73</v>
      </c>
      <c r="F126" s="31">
        <v>1</v>
      </c>
      <c r="G126" s="31" t="s">
        <v>73</v>
      </c>
      <c r="H126" s="53">
        <v>45968</v>
      </c>
      <c r="I126" s="31" t="s">
        <v>702</v>
      </c>
      <c r="J126" s="31" t="s">
        <v>703</v>
      </c>
      <c r="K126" s="31" t="s">
        <v>704</v>
      </c>
      <c r="L126" s="32" t="s">
        <v>24</v>
      </c>
      <c r="M126" s="5">
        <f>COUNTIF($B$1:$B$1475, B126)</f>
        <v>2</v>
      </c>
      <c r="N126" s="5">
        <f>COUNTIF($H$2:$H$1465, H126)</f>
        <v>36</v>
      </c>
    </row>
    <row r="127" spans="1:14">
      <c r="A127" s="33" t="s">
        <v>705</v>
      </c>
      <c r="B127" s="34" t="s">
        <v>706</v>
      </c>
      <c r="C127" s="34" t="s">
        <v>707</v>
      </c>
      <c r="D127" s="34" t="s">
        <v>19</v>
      </c>
      <c r="E127" s="34" t="s">
        <v>708</v>
      </c>
      <c r="F127" s="34">
        <v>8</v>
      </c>
      <c r="G127" s="34" t="s">
        <v>709</v>
      </c>
      <c r="H127" s="54">
        <v>45968</v>
      </c>
      <c r="I127" s="34" t="s">
        <v>710</v>
      </c>
      <c r="J127" s="34" t="s">
        <v>711</v>
      </c>
      <c r="K127" s="34" t="s">
        <v>712</v>
      </c>
      <c r="L127" s="35" t="s">
        <v>24</v>
      </c>
      <c r="M127" s="5">
        <f>COUNTIF($B$1:$B$1475, B127)</f>
        <v>1</v>
      </c>
      <c r="N127" s="5">
        <f>COUNTIF($H$2:$H$1465, H127)</f>
        <v>36</v>
      </c>
    </row>
    <row r="128" spans="1:14">
      <c r="A128" s="30" t="s">
        <v>713</v>
      </c>
      <c r="B128" s="31" t="s">
        <v>580</v>
      </c>
      <c r="C128" s="31" t="s">
        <v>581</v>
      </c>
      <c r="D128" s="31" t="s">
        <v>120</v>
      </c>
      <c r="E128" s="31" t="s">
        <v>120</v>
      </c>
      <c r="F128" s="31">
        <v>1</v>
      </c>
      <c r="G128" s="31" t="s">
        <v>120</v>
      </c>
      <c r="H128" s="53">
        <v>45968</v>
      </c>
      <c r="I128" s="31" t="s">
        <v>714</v>
      </c>
      <c r="J128" s="31" t="s">
        <v>715</v>
      </c>
      <c r="K128" s="31" t="s">
        <v>716</v>
      </c>
      <c r="L128" s="32" t="s">
        <v>24</v>
      </c>
      <c r="M128" s="5">
        <f>COUNTIF($B$1:$B$1475, B128)</f>
        <v>7</v>
      </c>
      <c r="N128" s="5">
        <f>COUNTIF($H$2:$H$1465, H128)</f>
        <v>36</v>
      </c>
    </row>
    <row r="129" spans="1:14">
      <c r="A129" s="33" t="s">
        <v>717</v>
      </c>
      <c r="B129" s="34" t="s">
        <v>580</v>
      </c>
      <c r="C129" s="34" t="s">
        <v>581</v>
      </c>
      <c r="D129" s="34" t="s">
        <v>120</v>
      </c>
      <c r="E129" s="34" t="s">
        <v>120</v>
      </c>
      <c r="F129" s="34">
        <v>1</v>
      </c>
      <c r="G129" s="34" t="s">
        <v>120</v>
      </c>
      <c r="H129" s="54">
        <v>45968</v>
      </c>
      <c r="I129" s="34" t="s">
        <v>718</v>
      </c>
      <c r="J129" s="34" t="s">
        <v>719</v>
      </c>
      <c r="K129" s="34" t="s">
        <v>720</v>
      </c>
      <c r="L129" s="35" t="s">
        <v>24</v>
      </c>
      <c r="M129" s="5">
        <f>COUNTIF($B$1:$B$1475, B129)</f>
        <v>7</v>
      </c>
      <c r="N129" s="5">
        <f>COUNTIF($H$2:$H$1465, H129)</f>
        <v>36</v>
      </c>
    </row>
    <row r="130" spans="1:14">
      <c r="A130" s="30" t="s">
        <v>721</v>
      </c>
      <c r="B130" s="31" t="s">
        <v>90</v>
      </c>
      <c r="C130" s="31" t="s">
        <v>722</v>
      </c>
      <c r="D130" s="31" t="s">
        <v>35</v>
      </c>
      <c r="E130" s="31" t="s">
        <v>18</v>
      </c>
      <c r="F130" s="31">
        <v>2</v>
      </c>
      <c r="G130" s="31" t="s">
        <v>66</v>
      </c>
      <c r="H130" s="53">
        <v>45968</v>
      </c>
      <c r="I130" s="31" t="s">
        <v>723</v>
      </c>
      <c r="J130" s="31" t="s">
        <v>724</v>
      </c>
      <c r="K130" s="31" t="s">
        <v>725</v>
      </c>
      <c r="L130" s="32" t="s">
        <v>24</v>
      </c>
      <c r="M130" s="5">
        <f>COUNTIF($B$1:$B$1475, B130)</f>
        <v>10</v>
      </c>
      <c r="N130" s="5">
        <f>COUNTIF($H$2:$H$1465, H130)</f>
        <v>36</v>
      </c>
    </row>
    <row r="131" spans="1:14">
      <c r="A131" s="33" t="s">
        <v>726</v>
      </c>
      <c r="B131" s="34" t="s">
        <v>580</v>
      </c>
      <c r="C131" s="34" t="s">
        <v>581</v>
      </c>
      <c r="D131" s="34" t="s">
        <v>120</v>
      </c>
      <c r="E131" s="34" t="s">
        <v>120</v>
      </c>
      <c r="F131" s="34">
        <v>1</v>
      </c>
      <c r="G131" s="34" t="s">
        <v>120</v>
      </c>
      <c r="H131" s="54">
        <v>45968</v>
      </c>
      <c r="I131" s="34" t="s">
        <v>727</v>
      </c>
      <c r="J131" s="34" t="s">
        <v>728</v>
      </c>
      <c r="K131" s="34" t="s">
        <v>729</v>
      </c>
      <c r="L131" s="35" t="s">
        <v>24</v>
      </c>
      <c r="M131" s="5">
        <f>COUNTIF($B$1:$B$1475, B131)</f>
        <v>7</v>
      </c>
      <c r="N131" s="5">
        <f>COUNTIF($H$2:$H$1465, H131)</f>
        <v>36</v>
      </c>
    </row>
    <row r="132" spans="1:14">
      <c r="A132" s="30" t="s">
        <v>730</v>
      </c>
      <c r="B132" s="31" t="s">
        <v>731</v>
      </c>
      <c r="C132" s="31" t="s">
        <v>732</v>
      </c>
      <c r="D132" s="31" t="s">
        <v>120</v>
      </c>
      <c r="E132" s="31" t="s">
        <v>120</v>
      </c>
      <c r="F132" s="31">
        <v>2</v>
      </c>
      <c r="G132" s="31" t="s">
        <v>121</v>
      </c>
      <c r="H132" s="53">
        <v>45968</v>
      </c>
      <c r="I132" s="31" t="s">
        <v>733</v>
      </c>
      <c r="J132" s="31" t="s">
        <v>734</v>
      </c>
      <c r="K132" s="31" t="s">
        <v>735</v>
      </c>
      <c r="L132" s="32" t="s">
        <v>24</v>
      </c>
      <c r="M132" s="5">
        <f>COUNTIF($B$1:$B$1475, B132)</f>
        <v>3</v>
      </c>
      <c r="N132" s="5">
        <f>COUNTIF($H$2:$H$1465, H132)</f>
        <v>36</v>
      </c>
    </row>
    <row r="133" spans="1:14">
      <c r="A133" s="33" t="s">
        <v>736</v>
      </c>
      <c r="B133" s="34" t="s">
        <v>737</v>
      </c>
      <c r="C133" s="34" t="s">
        <v>737</v>
      </c>
      <c r="D133" s="34" t="s">
        <v>738</v>
      </c>
      <c r="E133" s="34" t="s">
        <v>739</v>
      </c>
      <c r="F133" s="34">
        <v>2</v>
      </c>
      <c r="G133" s="34" t="s">
        <v>740</v>
      </c>
      <c r="H133" s="54">
        <v>45967</v>
      </c>
      <c r="I133" s="34"/>
      <c r="J133" s="34" t="s">
        <v>741</v>
      </c>
      <c r="K133" s="36"/>
      <c r="L133" s="35" t="s">
        <v>24</v>
      </c>
      <c r="M133" s="5">
        <f>COUNTIF($B$1:$B$1475, B133)</f>
        <v>43</v>
      </c>
      <c r="N133" s="5">
        <f>COUNTIF($H$2:$H$1465, H133)</f>
        <v>51</v>
      </c>
    </row>
    <row r="134" spans="1:14">
      <c r="A134" s="30" t="s">
        <v>742</v>
      </c>
      <c r="B134" s="31" t="s">
        <v>737</v>
      </c>
      <c r="C134" s="31" t="s">
        <v>737</v>
      </c>
      <c r="D134" s="31" t="s">
        <v>738</v>
      </c>
      <c r="E134" s="31" t="s">
        <v>738</v>
      </c>
      <c r="F134" s="31">
        <v>1</v>
      </c>
      <c r="G134" s="31" t="s">
        <v>738</v>
      </c>
      <c r="H134" s="53">
        <v>45967</v>
      </c>
      <c r="I134" s="31"/>
      <c r="J134" s="31" t="s">
        <v>743</v>
      </c>
      <c r="K134" s="37"/>
      <c r="L134" s="32" t="s">
        <v>24</v>
      </c>
      <c r="M134" s="5">
        <f>COUNTIF($B$1:$B$1475, B134)</f>
        <v>43</v>
      </c>
      <c r="N134" s="5">
        <f>COUNTIF($H$2:$H$1465, H134)</f>
        <v>51</v>
      </c>
    </row>
    <row r="135" spans="1:14">
      <c r="A135" s="33" t="s">
        <v>744</v>
      </c>
      <c r="B135" s="34" t="s">
        <v>737</v>
      </c>
      <c r="C135" s="34" t="s">
        <v>737</v>
      </c>
      <c r="D135" s="34" t="s">
        <v>738</v>
      </c>
      <c r="E135" s="34" t="s">
        <v>738</v>
      </c>
      <c r="F135" s="34">
        <v>1</v>
      </c>
      <c r="G135" s="34" t="s">
        <v>738</v>
      </c>
      <c r="H135" s="54">
        <v>45967</v>
      </c>
      <c r="I135" s="34"/>
      <c r="J135" s="34" t="s">
        <v>745</v>
      </c>
      <c r="K135" s="36"/>
      <c r="L135" s="35" t="s">
        <v>24</v>
      </c>
      <c r="M135" s="5">
        <f>COUNTIF($B$1:$B$1475, B135)</f>
        <v>43</v>
      </c>
      <c r="N135" s="5">
        <f>COUNTIF($H$2:$H$1465, H135)</f>
        <v>51</v>
      </c>
    </row>
    <row r="136" spans="1:14">
      <c r="A136" s="30" t="s">
        <v>746</v>
      </c>
      <c r="B136" s="31" t="s">
        <v>737</v>
      </c>
      <c r="C136" s="31" t="s">
        <v>737</v>
      </c>
      <c r="D136" s="31" t="s">
        <v>738</v>
      </c>
      <c r="E136" s="31" t="s">
        <v>738</v>
      </c>
      <c r="F136" s="31">
        <v>1</v>
      </c>
      <c r="G136" s="31" t="s">
        <v>738</v>
      </c>
      <c r="H136" s="53">
        <v>45967</v>
      </c>
      <c r="I136" s="31"/>
      <c r="J136" s="31" t="s">
        <v>747</v>
      </c>
      <c r="K136" s="37"/>
      <c r="L136" s="32" t="s">
        <v>24</v>
      </c>
      <c r="M136" s="5">
        <f>COUNTIF($B$1:$B$1475, B136)</f>
        <v>43</v>
      </c>
      <c r="N136" s="5">
        <f>COUNTIF($H$2:$H$1465, H136)</f>
        <v>51</v>
      </c>
    </row>
    <row r="137" spans="1:14">
      <c r="A137" s="33" t="s">
        <v>748</v>
      </c>
      <c r="B137" s="34" t="s">
        <v>737</v>
      </c>
      <c r="C137" s="34" t="s">
        <v>737</v>
      </c>
      <c r="D137" s="34" t="s">
        <v>738</v>
      </c>
      <c r="E137" s="34" t="s">
        <v>749</v>
      </c>
      <c r="F137" s="34">
        <v>3</v>
      </c>
      <c r="G137" s="34" t="s">
        <v>738</v>
      </c>
      <c r="H137" s="54">
        <v>45967</v>
      </c>
      <c r="I137" s="34"/>
      <c r="J137" s="34" t="s">
        <v>750</v>
      </c>
      <c r="K137" s="36"/>
      <c r="L137" s="35" t="s">
        <v>24</v>
      </c>
      <c r="M137" s="5">
        <f>COUNTIF($B$1:$B$1475, B137)</f>
        <v>43</v>
      </c>
      <c r="N137" s="5">
        <f>COUNTIF($H$2:$H$1465, H137)</f>
        <v>51</v>
      </c>
    </row>
    <row r="138" spans="1:14">
      <c r="A138" s="30" t="s">
        <v>751</v>
      </c>
      <c r="B138" s="31" t="s">
        <v>737</v>
      </c>
      <c r="C138" s="31" t="s">
        <v>737</v>
      </c>
      <c r="D138" s="31" t="s">
        <v>738</v>
      </c>
      <c r="E138" s="31" t="s">
        <v>749</v>
      </c>
      <c r="F138" s="31">
        <v>3</v>
      </c>
      <c r="G138" s="31" t="s">
        <v>738</v>
      </c>
      <c r="H138" s="53">
        <v>45967</v>
      </c>
      <c r="I138" s="31"/>
      <c r="J138" s="31" t="s">
        <v>752</v>
      </c>
      <c r="K138" s="37"/>
      <c r="L138" s="32" t="s">
        <v>24</v>
      </c>
      <c r="M138" s="5">
        <f>COUNTIF($B$1:$B$1475, B138)</f>
        <v>43</v>
      </c>
      <c r="N138" s="5">
        <f>COUNTIF($H$2:$H$1465, H138)</f>
        <v>51</v>
      </c>
    </row>
    <row r="139" spans="1:14">
      <c r="A139" s="33" t="s">
        <v>753</v>
      </c>
      <c r="B139" s="34" t="s">
        <v>737</v>
      </c>
      <c r="C139" s="34" t="s">
        <v>737</v>
      </c>
      <c r="D139" s="34" t="s">
        <v>738</v>
      </c>
      <c r="E139" s="34" t="s">
        <v>749</v>
      </c>
      <c r="F139" s="34">
        <v>3</v>
      </c>
      <c r="G139" s="34" t="s">
        <v>738</v>
      </c>
      <c r="H139" s="54">
        <v>45967</v>
      </c>
      <c r="I139" s="34"/>
      <c r="J139" s="34" t="s">
        <v>754</v>
      </c>
      <c r="K139" s="36"/>
      <c r="L139" s="35" t="s">
        <v>24</v>
      </c>
      <c r="M139" s="5">
        <f>COUNTIF($B$1:$B$1475, B139)</f>
        <v>43</v>
      </c>
      <c r="N139" s="5">
        <f>COUNTIF($H$2:$H$1465, H139)</f>
        <v>51</v>
      </c>
    </row>
    <row r="140" spans="1:14">
      <c r="A140" s="30" t="s">
        <v>755</v>
      </c>
      <c r="B140" s="31" t="s">
        <v>737</v>
      </c>
      <c r="C140" s="31" t="s">
        <v>737</v>
      </c>
      <c r="D140" s="31" t="s">
        <v>738</v>
      </c>
      <c r="E140" s="31" t="s">
        <v>749</v>
      </c>
      <c r="F140" s="31">
        <v>3</v>
      </c>
      <c r="G140" s="31" t="s">
        <v>738</v>
      </c>
      <c r="H140" s="53">
        <v>45967</v>
      </c>
      <c r="I140" s="31"/>
      <c r="J140" s="31" t="s">
        <v>756</v>
      </c>
      <c r="K140" s="37"/>
      <c r="L140" s="32" t="s">
        <v>24</v>
      </c>
      <c r="M140" s="5">
        <f>COUNTIF($B$1:$B$1475, B140)</f>
        <v>43</v>
      </c>
      <c r="N140" s="5">
        <f>COUNTIF($H$2:$H$1465, H140)</f>
        <v>51</v>
      </c>
    </row>
    <row r="141" spans="1:14">
      <c r="A141" s="33" t="s">
        <v>757</v>
      </c>
      <c r="B141" s="34" t="s">
        <v>737</v>
      </c>
      <c r="C141" s="34" t="s">
        <v>737</v>
      </c>
      <c r="D141" s="34" t="s">
        <v>738</v>
      </c>
      <c r="E141" s="34" t="s">
        <v>739</v>
      </c>
      <c r="F141" s="34">
        <v>2</v>
      </c>
      <c r="G141" s="34" t="s">
        <v>740</v>
      </c>
      <c r="H141" s="54">
        <v>45967</v>
      </c>
      <c r="I141" s="34"/>
      <c r="J141" s="34" t="s">
        <v>758</v>
      </c>
      <c r="K141" s="36"/>
      <c r="L141" s="35" t="s">
        <v>24</v>
      </c>
      <c r="M141" s="5">
        <f>COUNTIF($B$1:$B$1475, B141)</f>
        <v>43</v>
      </c>
      <c r="N141" s="5">
        <f>COUNTIF($H$2:$H$1465, H141)</f>
        <v>51</v>
      </c>
    </row>
    <row r="142" spans="1:14">
      <c r="A142" s="30" t="s">
        <v>759</v>
      </c>
      <c r="B142" s="31" t="s">
        <v>737</v>
      </c>
      <c r="C142" s="31" t="s">
        <v>737</v>
      </c>
      <c r="D142" s="31" t="s">
        <v>760</v>
      </c>
      <c r="E142" s="31" t="s">
        <v>761</v>
      </c>
      <c r="F142" s="31">
        <v>3</v>
      </c>
      <c r="G142" s="31" t="s">
        <v>760</v>
      </c>
      <c r="H142" s="53">
        <v>45967</v>
      </c>
      <c r="I142" s="31"/>
      <c r="J142" s="31" t="s">
        <v>762</v>
      </c>
      <c r="K142" s="37"/>
      <c r="L142" s="32" t="s">
        <v>24</v>
      </c>
      <c r="M142" s="5">
        <f>COUNTIF($B$1:$B$1475, B142)</f>
        <v>43</v>
      </c>
      <c r="N142" s="5">
        <f>COUNTIF($H$2:$H$1465, H142)</f>
        <v>51</v>
      </c>
    </row>
    <row r="143" spans="1:14">
      <c r="A143" s="33" t="s">
        <v>763</v>
      </c>
      <c r="B143" s="34" t="s">
        <v>737</v>
      </c>
      <c r="C143" s="34" t="s">
        <v>737</v>
      </c>
      <c r="D143" s="34" t="s">
        <v>760</v>
      </c>
      <c r="E143" s="34" t="s">
        <v>760</v>
      </c>
      <c r="F143" s="34">
        <v>1</v>
      </c>
      <c r="G143" s="34" t="s">
        <v>760</v>
      </c>
      <c r="H143" s="54">
        <v>45967</v>
      </c>
      <c r="I143" s="34"/>
      <c r="J143" s="34" t="s">
        <v>764</v>
      </c>
      <c r="K143" s="36"/>
      <c r="L143" s="35" t="s">
        <v>24</v>
      </c>
      <c r="M143" s="5">
        <f>COUNTIF($B$1:$B$1475, B143)</f>
        <v>43</v>
      </c>
      <c r="N143" s="5">
        <f>COUNTIF($H$2:$H$1465, H143)</f>
        <v>51</v>
      </c>
    </row>
    <row r="144" spans="1:14">
      <c r="A144" s="30" t="s">
        <v>765</v>
      </c>
      <c r="B144" s="31" t="s">
        <v>737</v>
      </c>
      <c r="C144" s="31" t="s">
        <v>737</v>
      </c>
      <c r="D144" s="31" t="s">
        <v>738</v>
      </c>
      <c r="E144" s="31" t="s">
        <v>739</v>
      </c>
      <c r="F144" s="31">
        <v>2</v>
      </c>
      <c r="G144" s="31" t="s">
        <v>740</v>
      </c>
      <c r="H144" s="53">
        <v>45967</v>
      </c>
      <c r="I144" s="31"/>
      <c r="J144" s="31" t="s">
        <v>766</v>
      </c>
      <c r="K144" s="37"/>
      <c r="L144" s="32" t="s">
        <v>24</v>
      </c>
      <c r="M144" s="5">
        <f>COUNTIF($B$1:$B$1475, B144)</f>
        <v>43</v>
      </c>
      <c r="N144" s="5">
        <f>COUNTIF($H$2:$H$1465, H144)</f>
        <v>51</v>
      </c>
    </row>
    <row r="145" spans="1:14">
      <c r="A145" s="33" t="s">
        <v>767</v>
      </c>
      <c r="B145" s="34" t="s">
        <v>737</v>
      </c>
      <c r="C145" s="34" t="s">
        <v>737</v>
      </c>
      <c r="D145" s="34" t="s">
        <v>760</v>
      </c>
      <c r="E145" s="34" t="s">
        <v>760</v>
      </c>
      <c r="F145" s="34">
        <v>1</v>
      </c>
      <c r="G145" s="34" t="s">
        <v>760</v>
      </c>
      <c r="H145" s="54">
        <v>45967</v>
      </c>
      <c r="I145" s="34"/>
      <c r="J145" s="34" t="s">
        <v>768</v>
      </c>
      <c r="K145" s="36"/>
      <c r="L145" s="35" t="s">
        <v>24</v>
      </c>
      <c r="M145" s="5">
        <f>COUNTIF($B$1:$B$1475, B145)</f>
        <v>43</v>
      </c>
      <c r="N145" s="5">
        <f>COUNTIF($H$2:$H$1465, H145)</f>
        <v>51</v>
      </c>
    </row>
    <row r="146" spans="1:14">
      <c r="A146" s="30" t="s">
        <v>769</v>
      </c>
      <c r="B146" s="31" t="s">
        <v>737</v>
      </c>
      <c r="C146" s="31" t="s">
        <v>737</v>
      </c>
      <c r="D146" s="31" t="s">
        <v>760</v>
      </c>
      <c r="E146" s="31" t="s">
        <v>760</v>
      </c>
      <c r="F146" s="31">
        <v>1</v>
      </c>
      <c r="G146" s="31" t="s">
        <v>760</v>
      </c>
      <c r="H146" s="53">
        <v>45967</v>
      </c>
      <c r="I146" s="31"/>
      <c r="J146" s="31" t="s">
        <v>770</v>
      </c>
      <c r="K146" s="37"/>
      <c r="L146" s="32" t="s">
        <v>24</v>
      </c>
      <c r="M146" s="5">
        <f>COUNTIF($B$1:$B$1475, B146)</f>
        <v>43</v>
      </c>
      <c r="N146" s="5">
        <f>COUNTIF($H$2:$H$1465, H146)</f>
        <v>51</v>
      </c>
    </row>
    <row r="147" spans="1:14">
      <c r="A147" s="33" t="s">
        <v>771</v>
      </c>
      <c r="B147" s="34" t="s">
        <v>737</v>
      </c>
      <c r="C147" s="34" t="s">
        <v>737</v>
      </c>
      <c r="D147" s="34" t="s">
        <v>760</v>
      </c>
      <c r="E147" s="34" t="s">
        <v>772</v>
      </c>
      <c r="F147" s="34">
        <v>6</v>
      </c>
      <c r="G147" s="34" t="s">
        <v>773</v>
      </c>
      <c r="H147" s="54">
        <v>45967</v>
      </c>
      <c r="I147" s="34" t="s">
        <v>774</v>
      </c>
      <c r="J147" s="34" t="s">
        <v>775</v>
      </c>
      <c r="K147" s="36"/>
      <c r="L147" s="35" t="s">
        <v>24</v>
      </c>
      <c r="M147" s="5">
        <f>COUNTIF($B$1:$B$1475, B147)</f>
        <v>43</v>
      </c>
      <c r="N147" s="5">
        <f>COUNTIF($H$2:$H$1465, H147)</f>
        <v>51</v>
      </c>
    </row>
    <row r="148" spans="1:14">
      <c r="A148" s="30" t="s">
        <v>776</v>
      </c>
      <c r="B148" s="31" t="s">
        <v>777</v>
      </c>
      <c r="C148" s="31" t="s">
        <v>778</v>
      </c>
      <c r="D148" s="31" t="s">
        <v>779</v>
      </c>
      <c r="E148" s="31" t="s">
        <v>780</v>
      </c>
      <c r="F148" s="31">
        <v>4</v>
      </c>
      <c r="G148" s="31" t="s">
        <v>781</v>
      </c>
      <c r="H148" s="53">
        <v>45967</v>
      </c>
      <c r="I148" s="31" t="s">
        <v>782</v>
      </c>
      <c r="J148" s="31" t="s">
        <v>783</v>
      </c>
      <c r="K148" s="31" t="s">
        <v>784</v>
      </c>
      <c r="L148" s="32" t="s">
        <v>24</v>
      </c>
      <c r="M148" s="5">
        <f>COUNTIF($B$1:$B$1475, B148)</f>
        <v>1</v>
      </c>
      <c r="N148" s="5">
        <f>COUNTIF($H$2:$H$1465, H148)</f>
        <v>51</v>
      </c>
    </row>
    <row r="149" spans="1:14">
      <c r="A149" s="33" t="s">
        <v>785</v>
      </c>
      <c r="B149" s="34" t="s">
        <v>737</v>
      </c>
      <c r="C149" s="34" t="s">
        <v>737</v>
      </c>
      <c r="D149" s="34" t="s">
        <v>760</v>
      </c>
      <c r="E149" s="34" t="s">
        <v>760</v>
      </c>
      <c r="F149" s="34">
        <v>1</v>
      </c>
      <c r="G149" s="34" t="s">
        <v>760</v>
      </c>
      <c r="H149" s="54">
        <v>45967</v>
      </c>
      <c r="I149" s="34"/>
      <c r="J149" s="34" t="s">
        <v>786</v>
      </c>
      <c r="K149" s="36"/>
      <c r="L149" s="35" t="s">
        <v>24</v>
      </c>
      <c r="M149" s="5">
        <f>COUNTIF($B$1:$B$1475, B149)</f>
        <v>43</v>
      </c>
      <c r="N149" s="5">
        <f>COUNTIF($H$2:$H$1465, H149)</f>
        <v>51</v>
      </c>
    </row>
    <row r="150" spans="1:14">
      <c r="A150" s="30" t="s">
        <v>787</v>
      </c>
      <c r="B150" s="31" t="s">
        <v>788</v>
      </c>
      <c r="C150" s="31" t="s">
        <v>789</v>
      </c>
      <c r="D150" s="31" t="s">
        <v>790</v>
      </c>
      <c r="E150" s="31" t="s">
        <v>790</v>
      </c>
      <c r="F150" s="31">
        <v>1</v>
      </c>
      <c r="G150" s="31" t="s">
        <v>790</v>
      </c>
      <c r="H150" s="53">
        <v>45967</v>
      </c>
      <c r="I150" s="31" t="s">
        <v>791</v>
      </c>
      <c r="J150" s="31" t="s">
        <v>792</v>
      </c>
      <c r="K150" s="31" t="s">
        <v>793</v>
      </c>
      <c r="L150" s="32" t="s">
        <v>24</v>
      </c>
      <c r="M150" s="5">
        <f>COUNTIF($B$1:$B$1475, B150)</f>
        <v>1</v>
      </c>
      <c r="N150" s="5">
        <f>COUNTIF($H$2:$H$1465, H150)</f>
        <v>51</v>
      </c>
    </row>
    <row r="151" spans="1:14">
      <c r="A151" s="33" t="s">
        <v>794</v>
      </c>
      <c r="B151" s="34" t="s">
        <v>737</v>
      </c>
      <c r="C151" s="34" t="s">
        <v>737</v>
      </c>
      <c r="D151" s="34" t="s">
        <v>760</v>
      </c>
      <c r="E151" s="34" t="s">
        <v>795</v>
      </c>
      <c r="F151" s="34">
        <v>2</v>
      </c>
      <c r="G151" s="34" t="s">
        <v>773</v>
      </c>
      <c r="H151" s="54">
        <v>45967</v>
      </c>
      <c r="I151" s="34"/>
      <c r="J151" s="34" t="s">
        <v>796</v>
      </c>
      <c r="K151" s="36"/>
      <c r="L151" s="35" t="s">
        <v>24</v>
      </c>
      <c r="M151" s="5">
        <f>COUNTIF($B$1:$B$1475, B151)</f>
        <v>43</v>
      </c>
      <c r="N151" s="5">
        <f>COUNTIF($H$2:$H$1465, H151)</f>
        <v>51</v>
      </c>
    </row>
    <row r="152" spans="1:14">
      <c r="A152" s="30" t="s">
        <v>797</v>
      </c>
      <c r="B152" s="31" t="s">
        <v>737</v>
      </c>
      <c r="C152" s="31" t="s">
        <v>737</v>
      </c>
      <c r="D152" s="31" t="s">
        <v>760</v>
      </c>
      <c r="E152" s="31" t="s">
        <v>798</v>
      </c>
      <c r="F152" s="31">
        <v>4</v>
      </c>
      <c r="G152" s="31" t="s">
        <v>773</v>
      </c>
      <c r="H152" s="53">
        <v>45967</v>
      </c>
      <c r="I152" s="31"/>
      <c r="J152" s="31" t="s">
        <v>799</v>
      </c>
      <c r="K152" s="37"/>
      <c r="L152" s="32" t="s">
        <v>24</v>
      </c>
      <c r="M152" s="5">
        <f>COUNTIF($B$1:$B$1475, B152)</f>
        <v>43</v>
      </c>
      <c r="N152" s="5">
        <f>COUNTIF($H$2:$H$1465, H152)</f>
        <v>51</v>
      </c>
    </row>
    <row r="153" spans="1:14">
      <c r="A153" s="33" t="s">
        <v>800</v>
      </c>
      <c r="B153" s="34" t="s">
        <v>737</v>
      </c>
      <c r="C153" s="34" t="s">
        <v>737</v>
      </c>
      <c r="D153" s="34" t="s">
        <v>760</v>
      </c>
      <c r="E153" s="34" t="s">
        <v>760</v>
      </c>
      <c r="F153" s="34">
        <v>1</v>
      </c>
      <c r="G153" s="34" t="s">
        <v>760</v>
      </c>
      <c r="H153" s="54">
        <v>45967</v>
      </c>
      <c r="I153" s="34"/>
      <c r="J153" s="34" t="s">
        <v>801</v>
      </c>
      <c r="K153" s="36"/>
      <c r="L153" s="35" t="s">
        <v>24</v>
      </c>
      <c r="M153" s="5">
        <f>COUNTIF($B$1:$B$1475, B153)</f>
        <v>43</v>
      </c>
      <c r="N153" s="5">
        <f>COUNTIF($H$2:$H$1465, H153)</f>
        <v>51</v>
      </c>
    </row>
    <row r="154" spans="1:14">
      <c r="A154" s="30" t="s">
        <v>802</v>
      </c>
      <c r="B154" s="31" t="s">
        <v>803</v>
      </c>
      <c r="C154" s="31" t="s">
        <v>804</v>
      </c>
      <c r="D154" s="31" t="s">
        <v>805</v>
      </c>
      <c r="E154" s="31" t="s">
        <v>805</v>
      </c>
      <c r="F154" s="31">
        <v>1</v>
      </c>
      <c r="G154" s="31" t="s">
        <v>805</v>
      </c>
      <c r="H154" s="53">
        <v>45967</v>
      </c>
      <c r="I154" s="31" t="s">
        <v>806</v>
      </c>
      <c r="J154" s="31" t="s">
        <v>807</v>
      </c>
      <c r="K154" s="31" t="s">
        <v>808</v>
      </c>
      <c r="L154" s="32" t="s">
        <v>24</v>
      </c>
      <c r="M154" s="5">
        <f>COUNTIF($B$1:$B$1475, B154)</f>
        <v>1</v>
      </c>
      <c r="N154" s="5">
        <f>COUNTIF($H$2:$H$1465, H154)</f>
        <v>51</v>
      </c>
    </row>
    <row r="155" spans="1:14">
      <c r="A155" s="33" t="s">
        <v>809</v>
      </c>
      <c r="B155" s="34" t="s">
        <v>737</v>
      </c>
      <c r="C155" s="34" t="s">
        <v>737</v>
      </c>
      <c r="D155" s="34" t="s">
        <v>760</v>
      </c>
      <c r="E155" s="34" t="s">
        <v>760</v>
      </c>
      <c r="F155" s="34">
        <v>1</v>
      </c>
      <c r="G155" s="34" t="s">
        <v>760</v>
      </c>
      <c r="H155" s="54">
        <v>45967</v>
      </c>
      <c r="I155" s="34"/>
      <c r="J155" s="34" t="s">
        <v>810</v>
      </c>
      <c r="K155" s="36"/>
      <c r="L155" s="35" t="s">
        <v>24</v>
      </c>
      <c r="M155" s="5">
        <f>COUNTIF($B$1:$B$1475, B155)</f>
        <v>43</v>
      </c>
      <c r="N155" s="5">
        <f>COUNTIF($H$2:$H$1465, H155)</f>
        <v>51</v>
      </c>
    </row>
    <row r="156" spans="1:14">
      <c r="A156" s="30" t="s">
        <v>811</v>
      </c>
      <c r="B156" s="31" t="s">
        <v>737</v>
      </c>
      <c r="C156" s="31" t="s">
        <v>737</v>
      </c>
      <c r="D156" s="31" t="s">
        <v>760</v>
      </c>
      <c r="E156" s="31" t="s">
        <v>760</v>
      </c>
      <c r="F156" s="31">
        <v>1</v>
      </c>
      <c r="G156" s="31" t="s">
        <v>760</v>
      </c>
      <c r="H156" s="53">
        <v>45967</v>
      </c>
      <c r="I156" s="31"/>
      <c r="J156" s="31" t="s">
        <v>812</v>
      </c>
      <c r="K156" s="37"/>
      <c r="L156" s="32" t="s">
        <v>24</v>
      </c>
      <c r="M156" s="5">
        <f>COUNTIF($B$1:$B$1475, B156)</f>
        <v>43</v>
      </c>
      <c r="N156" s="5">
        <f>COUNTIF($H$2:$H$1465, H156)</f>
        <v>51</v>
      </c>
    </row>
    <row r="157" spans="1:14">
      <c r="A157" s="33" t="s">
        <v>813</v>
      </c>
      <c r="B157" s="34" t="s">
        <v>737</v>
      </c>
      <c r="C157" s="34" t="s">
        <v>737</v>
      </c>
      <c r="D157" s="34" t="s">
        <v>760</v>
      </c>
      <c r="E157" s="34" t="s">
        <v>760</v>
      </c>
      <c r="F157" s="34">
        <v>1</v>
      </c>
      <c r="G157" s="34" t="s">
        <v>760</v>
      </c>
      <c r="H157" s="54">
        <v>45967</v>
      </c>
      <c r="I157" s="34"/>
      <c r="J157" s="34" t="s">
        <v>814</v>
      </c>
      <c r="K157" s="36"/>
      <c r="L157" s="35" t="s">
        <v>24</v>
      </c>
      <c r="M157" s="5">
        <f>COUNTIF($B$1:$B$1475, B157)</f>
        <v>43</v>
      </c>
      <c r="N157" s="5">
        <f>COUNTIF($H$2:$H$1465, H157)</f>
        <v>51</v>
      </c>
    </row>
    <row r="158" spans="1:14">
      <c r="A158" s="30" t="s">
        <v>815</v>
      </c>
      <c r="B158" s="31" t="s">
        <v>737</v>
      </c>
      <c r="C158" s="31" t="s">
        <v>737</v>
      </c>
      <c r="D158" s="31" t="s">
        <v>760</v>
      </c>
      <c r="E158" s="31" t="s">
        <v>761</v>
      </c>
      <c r="F158" s="31">
        <v>3</v>
      </c>
      <c r="G158" s="31" t="s">
        <v>760</v>
      </c>
      <c r="H158" s="53">
        <v>45967</v>
      </c>
      <c r="I158" s="31"/>
      <c r="J158" s="31" t="s">
        <v>816</v>
      </c>
      <c r="K158" s="37"/>
      <c r="L158" s="32" t="s">
        <v>24</v>
      </c>
      <c r="M158" s="5">
        <f>COUNTIF($B$1:$B$1475, B158)</f>
        <v>43</v>
      </c>
      <c r="N158" s="5">
        <f>COUNTIF($H$2:$H$1465, H158)</f>
        <v>51</v>
      </c>
    </row>
    <row r="159" spans="1:14">
      <c r="A159" s="33" t="s">
        <v>817</v>
      </c>
      <c r="B159" s="34" t="s">
        <v>737</v>
      </c>
      <c r="C159" s="34" t="s">
        <v>737</v>
      </c>
      <c r="D159" s="34" t="s">
        <v>760</v>
      </c>
      <c r="E159" s="34" t="s">
        <v>818</v>
      </c>
      <c r="F159" s="34">
        <v>7</v>
      </c>
      <c r="G159" s="34" t="s">
        <v>760</v>
      </c>
      <c r="H159" s="54">
        <v>45967</v>
      </c>
      <c r="I159" s="34" t="s">
        <v>819</v>
      </c>
      <c r="J159" s="34" t="s">
        <v>820</v>
      </c>
      <c r="K159" s="36"/>
      <c r="L159" s="35" t="s">
        <v>24</v>
      </c>
      <c r="M159" s="5">
        <f>COUNTIF($B$1:$B$1475, B159)</f>
        <v>43</v>
      </c>
      <c r="N159" s="5">
        <f>COUNTIF($H$2:$H$1465, H159)</f>
        <v>51</v>
      </c>
    </row>
    <row r="160" spans="1:14">
      <c r="A160" s="30" t="s">
        <v>821</v>
      </c>
      <c r="B160" s="31" t="s">
        <v>737</v>
      </c>
      <c r="C160" s="31" t="s">
        <v>737</v>
      </c>
      <c r="D160" s="31" t="s">
        <v>760</v>
      </c>
      <c r="E160" s="31" t="s">
        <v>760</v>
      </c>
      <c r="F160" s="31">
        <v>1</v>
      </c>
      <c r="G160" s="31" t="s">
        <v>760</v>
      </c>
      <c r="H160" s="53">
        <v>45967</v>
      </c>
      <c r="I160" s="31"/>
      <c r="J160" s="31" t="s">
        <v>822</v>
      </c>
      <c r="K160" s="37"/>
      <c r="L160" s="32" t="s">
        <v>24</v>
      </c>
      <c r="M160" s="5">
        <f>COUNTIF($B$1:$B$1475, B160)</f>
        <v>43</v>
      </c>
      <c r="N160" s="5">
        <f>COUNTIF($H$2:$H$1465, H160)</f>
        <v>51</v>
      </c>
    </row>
    <row r="161" spans="1:14">
      <c r="A161" s="33" t="s">
        <v>823</v>
      </c>
      <c r="B161" s="34" t="s">
        <v>737</v>
      </c>
      <c r="C161" s="34" t="s">
        <v>737</v>
      </c>
      <c r="D161" s="34" t="s">
        <v>760</v>
      </c>
      <c r="E161" s="34" t="s">
        <v>760</v>
      </c>
      <c r="F161" s="34">
        <v>1</v>
      </c>
      <c r="G161" s="34" t="s">
        <v>760</v>
      </c>
      <c r="H161" s="54">
        <v>45967</v>
      </c>
      <c r="I161" s="34"/>
      <c r="J161" s="34" t="s">
        <v>824</v>
      </c>
      <c r="K161" s="36"/>
      <c r="L161" s="35" t="s">
        <v>24</v>
      </c>
      <c r="M161" s="5">
        <f>COUNTIF($B$1:$B$1475, B161)</f>
        <v>43</v>
      </c>
      <c r="N161" s="5">
        <f>COUNTIF($H$2:$H$1465, H161)</f>
        <v>51</v>
      </c>
    </row>
    <row r="162" spans="1:14">
      <c r="A162" s="30" t="s">
        <v>825</v>
      </c>
      <c r="B162" s="31" t="s">
        <v>737</v>
      </c>
      <c r="C162" s="31" t="s">
        <v>737</v>
      </c>
      <c r="D162" s="31" t="s">
        <v>760</v>
      </c>
      <c r="E162" s="31" t="s">
        <v>818</v>
      </c>
      <c r="F162" s="31">
        <v>7</v>
      </c>
      <c r="G162" s="31" t="s">
        <v>760</v>
      </c>
      <c r="H162" s="53">
        <v>45967</v>
      </c>
      <c r="I162" s="31" t="s">
        <v>826</v>
      </c>
      <c r="J162" s="31" t="s">
        <v>827</v>
      </c>
      <c r="K162" s="37"/>
      <c r="L162" s="32" t="s">
        <v>24</v>
      </c>
      <c r="M162" s="5">
        <f>COUNTIF($B$1:$B$1475, B162)</f>
        <v>43</v>
      </c>
      <c r="N162" s="5">
        <f>COUNTIF($H$2:$H$1465, H162)</f>
        <v>51</v>
      </c>
    </row>
    <row r="163" spans="1:14">
      <c r="A163" s="33" t="s">
        <v>828</v>
      </c>
      <c r="B163" s="34" t="s">
        <v>829</v>
      </c>
      <c r="C163" s="34" t="s">
        <v>830</v>
      </c>
      <c r="D163" s="34" t="s">
        <v>831</v>
      </c>
      <c r="E163" s="34" t="s">
        <v>832</v>
      </c>
      <c r="F163" s="34">
        <v>12</v>
      </c>
      <c r="G163" s="34" t="s">
        <v>833</v>
      </c>
      <c r="H163" s="54">
        <v>45967</v>
      </c>
      <c r="I163" s="34" t="s">
        <v>834</v>
      </c>
      <c r="J163" s="34" t="s">
        <v>835</v>
      </c>
      <c r="K163" s="34" t="s">
        <v>836</v>
      </c>
      <c r="L163" s="35" t="s">
        <v>24</v>
      </c>
      <c r="M163" s="5">
        <f>COUNTIF($B$1:$B$1475, B163)</f>
        <v>1</v>
      </c>
      <c r="N163" s="5">
        <f>COUNTIF($H$2:$H$1465, H163)</f>
        <v>51</v>
      </c>
    </row>
    <row r="164" spans="1:14">
      <c r="A164" s="30" t="s">
        <v>837</v>
      </c>
      <c r="B164" s="31" t="s">
        <v>838</v>
      </c>
      <c r="C164" s="31" t="s">
        <v>839</v>
      </c>
      <c r="D164" s="31" t="s">
        <v>840</v>
      </c>
      <c r="E164" s="31" t="s">
        <v>790</v>
      </c>
      <c r="F164" s="31">
        <v>2</v>
      </c>
      <c r="G164" s="31" t="s">
        <v>841</v>
      </c>
      <c r="H164" s="53">
        <v>45967</v>
      </c>
      <c r="I164" s="31" t="s">
        <v>842</v>
      </c>
      <c r="J164" s="31" t="s">
        <v>843</v>
      </c>
      <c r="K164" s="31" t="s">
        <v>844</v>
      </c>
      <c r="L164" s="32" t="s">
        <v>24</v>
      </c>
      <c r="M164" s="5">
        <f>COUNTIF($B$1:$B$1475, B164)</f>
        <v>1</v>
      </c>
      <c r="N164" s="5">
        <f>COUNTIF($H$2:$H$1465, H164)</f>
        <v>51</v>
      </c>
    </row>
    <row r="165" spans="1:14">
      <c r="A165" s="33" t="s">
        <v>845</v>
      </c>
      <c r="B165" s="34" t="s">
        <v>684</v>
      </c>
      <c r="C165" s="34" t="s">
        <v>685</v>
      </c>
      <c r="D165" s="34" t="s">
        <v>840</v>
      </c>
      <c r="E165" s="34" t="s">
        <v>840</v>
      </c>
      <c r="F165" s="34">
        <v>1</v>
      </c>
      <c r="G165" s="34" t="s">
        <v>840</v>
      </c>
      <c r="H165" s="54">
        <v>45967</v>
      </c>
      <c r="I165" s="34" t="s">
        <v>846</v>
      </c>
      <c r="J165" s="34" t="s">
        <v>847</v>
      </c>
      <c r="K165" s="34" t="s">
        <v>848</v>
      </c>
      <c r="L165" s="35" t="s">
        <v>24</v>
      </c>
      <c r="M165" s="5">
        <f>COUNTIF($B$1:$B$1475, B165)</f>
        <v>2</v>
      </c>
      <c r="N165" s="5">
        <f>COUNTIF($H$2:$H$1465, H165)</f>
        <v>51</v>
      </c>
    </row>
    <row r="166" spans="1:14">
      <c r="A166" s="30" t="s">
        <v>849</v>
      </c>
      <c r="B166" s="31" t="s">
        <v>278</v>
      </c>
      <c r="C166" s="31" t="s">
        <v>279</v>
      </c>
      <c r="D166" s="31" t="s">
        <v>805</v>
      </c>
      <c r="E166" s="31" t="s">
        <v>805</v>
      </c>
      <c r="F166" s="31">
        <v>1</v>
      </c>
      <c r="G166" s="31" t="s">
        <v>805</v>
      </c>
      <c r="H166" s="53">
        <v>45967</v>
      </c>
      <c r="I166" s="31" t="s">
        <v>850</v>
      </c>
      <c r="J166" s="31" t="s">
        <v>851</v>
      </c>
      <c r="K166" s="31" t="s">
        <v>852</v>
      </c>
      <c r="L166" s="32" t="s">
        <v>24</v>
      </c>
      <c r="M166" s="5">
        <f>COUNTIF($B$1:$B$1475, B166)</f>
        <v>2</v>
      </c>
      <c r="N166" s="5">
        <f>COUNTIF($H$2:$H$1465, H166)</f>
        <v>51</v>
      </c>
    </row>
    <row r="167" spans="1:14">
      <c r="A167" s="33" t="s">
        <v>853</v>
      </c>
      <c r="B167" s="34" t="s">
        <v>183</v>
      </c>
      <c r="C167" s="34" t="s">
        <v>184</v>
      </c>
      <c r="D167" s="34" t="s">
        <v>854</v>
      </c>
      <c r="E167" s="34" t="s">
        <v>854</v>
      </c>
      <c r="F167" s="34">
        <v>1</v>
      </c>
      <c r="G167" s="34" t="s">
        <v>854</v>
      </c>
      <c r="H167" s="54">
        <v>45967</v>
      </c>
      <c r="I167" s="34" t="s">
        <v>855</v>
      </c>
      <c r="J167" s="34" t="s">
        <v>856</v>
      </c>
      <c r="K167" s="34" t="s">
        <v>857</v>
      </c>
      <c r="L167" s="35" t="s">
        <v>24</v>
      </c>
      <c r="M167" s="5">
        <f>COUNTIF($B$1:$B$1475, B167)</f>
        <v>4</v>
      </c>
      <c r="N167" s="5">
        <f>COUNTIF($H$2:$H$1465, H167)</f>
        <v>51</v>
      </c>
    </row>
    <row r="168" spans="1:14">
      <c r="A168" s="30" t="s">
        <v>858</v>
      </c>
      <c r="B168" s="31" t="s">
        <v>737</v>
      </c>
      <c r="C168" s="31" t="s">
        <v>737</v>
      </c>
      <c r="D168" s="31" t="s">
        <v>760</v>
      </c>
      <c r="E168" s="31" t="s">
        <v>760</v>
      </c>
      <c r="F168" s="31">
        <v>1</v>
      </c>
      <c r="G168" s="31" t="s">
        <v>760</v>
      </c>
      <c r="H168" s="53">
        <v>45967</v>
      </c>
      <c r="I168" s="31"/>
      <c r="J168" s="31" t="s">
        <v>859</v>
      </c>
      <c r="K168" s="37"/>
      <c r="L168" s="32" t="s">
        <v>24</v>
      </c>
      <c r="M168" s="5">
        <f>COUNTIF($B$1:$B$1475, B168)</f>
        <v>43</v>
      </c>
      <c r="N168" s="5">
        <f>COUNTIF($H$2:$H$1465, H168)</f>
        <v>51</v>
      </c>
    </row>
    <row r="169" spans="1:14">
      <c r="A169" s="33" t="s">
        <v>860</v>
      </c>
      <c r="B169" s="34" t="s">
        <v>737</v>
      </c>
      <c r="C169" s="34" t="s">
        <v>737</v>
      </c>
      <c r="D169" s="34" t="s">
        <v>760</v>
      </c>
      <c r="E169" s="34" t="s">
        <v>795</v>
      </c>
      <c r="F169" s="34">
        <v>2</v>
      </c>
      <c r="G169" s="34" t="s">
        <v>773</v>
      </c>
      <c r="H169" s="54">
        <v>45967</v>
      </c>
      <c r="I169" s="34"/>
      <c r="J169" s="34" t="s">
        <v>861</v>
      </c>
      <c r="K169" s="36"/>
      <c r="L169" s="35" t="s">
        <v>24</v>
      </c>
      <c r="M169" s="5">
        <f>COUNTIF($B$1:$B$1475, B169)</f>
        <v>43</v>
      </c>
      <c r="N169" s="5">
        <f>COUNTIF($H$2:$H$1465, H169)</f>
        <v>51</v>
      </c>
    </row>
    <row r="170" spans="1:14">
      <c r="A170" s="30" t="s">
        <v>862</v>
      </c>
      <c r="B170" s="31" t="s">
        <v>737</v>
      </c>
      <c r="C170" s="31" t="s">
        <v>737</v>
      </c>
      <c r="D170" s="31" t="s">
        <v>760</v>
      </c>
      <c r="E170" s="31" t="s">
        <v>760</v>
      </c>
      <c r="F170" s="31">
        <v>1</v>
      </c>
      <c r="G170" s="31" t="s">
        <v>760</v>
      </c>
      <c r="H170" s="53">
        <v>45967</v>
      </c>
      <c r="I170" s="31"/>
      <c r="J170" s="31" t="s">
        <v>863</v>
      </c>
      <c r="K170" s="37"/>
      <c r="L170" s="32" t="s">
        <v>24</v>
      </c>
      <c r="M170" s="5">
        <f>COUNTIF($B$1:$B$1475, B170)</f>
        <v>43</v>
      </c>
      <c r="N170" s="5">
        <f>COUNTIF($H$2:$H$1465, H170)</f>
        <v>51</v>
      </c>
    </row>
    <row r="171" spans="1:14">
      <c r="A171" s="33" t="s">
        <v>864</v>
      </c>
      <c r="B171" s="34" t="s">
        <v>737</v>
      </c>
      <c r="C171" s="34" t="s">
        <v>737</v>
      </c>
      <c r="D171" s="34" t="s">
        <v>760</v>
      </c>
      <c r="E171" s="34" t="s">
        <v>818</v>
      </c>
      <c r="F171" s="34">
        <v>7</v>
      </c>
      <c r="G171" s="34" t="s">
        <v>760</v>
      </c>
      <c r="H171" s="54">
        <v>45967</v>
      </c>
      <c r="I171" s="34" t="s">
        <v>865</v>
      </c>
      <c r="J171" s="34" t="s">
        <v>866</v>
      </c>
      <c r="K171" s="36"/>
      <c r="L171" s="35" t="s">
        <v>24</v>
      </c>
      <c r="M171" s="5">
        <f>COUNTIF($B$1:$B$1475, B171)</f>
        <v>43</v>
      </c>
      <c r="N171" s="5">
        <f>COUNTIF($H$2:$H$1465, H171)</f>
        <v>51</v>
      </c>
    </row>
    <row r="172" spans="1:14">
      <c r="A172" s="30" t="s">
        <v>867</v>
      </c>
      <c r="B172" s="31" t="s">
        <v>737</v>
      </c>
      <c r="C172" s="31" t="s">
        <v>737</v>
      </c>
      <c r="D172" s="31" t="s">
        <v>760</v>
      </c>
      <c r="E172" s="31" t="s">
        <v>868</v>
      </c>
      <c r="F172" s="31">
        <v>5</v>
      </c>
      <c r="G172" s="31" t="s">
        <v>760</v>
      </c>
      <c r="H172" s="53">
        <v>45967</v>
      </c>
      <c r="I172" s="31" t="s">
        <v>869</v>
      </c>
      <c r="J172" s="31" t="s">
        <v>870</v>
      </c>
      <c r="K172" s="37"/>
      <c r="L172" s="32" t="s">
        <v>24</v>
      </c>
      <c r="M172" s="5">
        <f>COUNTIF($B$1:$B$1475, B172)</f>
        <v>43</v>
      </c>
      <c r="N172" s="5">
        <f>COUNTIF($H$2:$H$1465, H172)</f>
        <v>51</v>
      </c>
    </row>
    <row r="173" spans="1:14">
      <c r="A173" s="33" t="s">
        <v>871</v>
      </c>
      <c r="B173" s="34" t="s">
        <v>737</v>
      </c>
      <c r="C173" s="34" t="s">
        <v>737</v>
      </c>
      <c r="D173" s="34" t="s">
        <v>760</v>
      </c>
      <c r="E173" s="34" t="s">
        <v>795</v>
      </c>
      <c r="F173" s="34">
        <v>2</v>
      </c>
      <c r="G173" s="34" t="s">
        <v>773</v>
      </c>
      <c r="H173" s="54">
        <v>45967</v>
      </c>
      <c r="I173" s="34"/>
      <c r="J173" s="34" t="s">
        <v>872</v>
      </c>
      <c r="K173" s="36"/>
      <c r="L173" s="35" t="s">
        <v>24</v>
      </c>
      <c r="M173" s="5">
        <f>COUNTIF($B$1:$B$1475, B173)</f>
        <v>43</v>
      </c>
      <c r="N173" s="5">
        <f>COUNTIF($H$2:$H$1465, H173)</f>
        <v>51</v>
      </c>
    </row>
    <row r="174" spans="1:14">
      <c r="A174" s="30" t="s">
        <v>873</v>
      </c>
      <c r="B174" s="31" t="s">
        <v>737</v>
      </c>
      <c r="C174" s="31" t="s">
        <v>737</v>
      </c>
      <c r="D174" s="31" t="s">
        <v>760</v>
      </c>
      <c r="E174" s="31" t="s">
        <v>760</v>
      </c>
      <c r="F174" s="31">
        <v>1</v>
      </c>
      <c r="G174" s="31" t="s">
        <v>760</v>
      </c>
      <c r="H174" s="53">
        <v>45967</v>
      </c>
      <c r="I174" s="31"/>
      <c r="J174" s="31" t="s">
        <v>874</v>
      </c>
      <c r="K174" s="37"/>
      <c r="L174" s="32" t="s">
        <v>24</v>
      </c>
      <c r="M174" s="5">
        <f>COUNTIF($B$1:$B$1475, B174)</f>
        <v>43</v>
      </c>
      <c r="N174" s="5">
        <f>COUNTIF($H$2:$H$1465, H174)</f>
        <v>51</v>
      </c>
    </row>
    <row r="175" spans="1:14">
      <c r="A175" s="33" t="s">
        <v>875</v>
      </c>
      <c r="B175" s="34" t="s">
        <v>737</v>
      </c>
      <c r="C175" s="34" t="s">
        <v>737</v>
      </c>
      <c r="D175" s="34" t="s">
        <v>760</v>
      </c>
      <c r="E175" s="34" t="s">
        <v>761</v>
      </c>
      <c r="F175" s="34">
        <v>3</v>
      </c>
      <c r="G175" s="34" t="s">
        <v>760</v>
      </c>
      <c r="H175" s="54">
        <v>45967</v>
      </c>
      <c r="I175" s="34"/>
      <c r="J175" s="34" t="s">
        <v>876</v>
      </c>
      <c r="K175" s="36"/>
      <c r="L175" s="35" t="s">
        <v>24</v>
      </c>
      <c r="M175" s="5">
        <f>COUNTIF($B$1:$B$1475, B175)</f>
        <v>43</v>
      </c>
      <c r="N175" s="5">
        <f>COUNTIF($H$2:$H$1465, H175)</f>
        <v>51</v>
      </c>
    </row>
    <row r="176" spans="1:14">
      <c r="A176" s="30" t="s">
        <v>877</v>
      </c>
      <c r="B176" s="31" t="s">
        <v>737</v>
      </c>
      <c r="C176" s="31" t="s">
        <v>737</v>
      </c>
      <c r="D176" s="31" t="s">
        <v>760</v>
      </c>
      <c r="E176" s="31" t="s">
        <v>760</v>
      </c>
      <c r="F176" s="31">
        <v>1</v>
      </c>
      <c r="G176" s="31" t="s">
        <v>760</v>
      </c>
      <c r="H176" s="53">
        <v>45967</v>
      </c>
      <c r="I176" s="31"/>
      <c r="J176" s="31" t="s">
        <v>878</v>
      </c>
      <c r="K176" s="37"/>
      <c r="L176" s="32" t="s">
        <v>24</v>
      </c>
      <c r="M176" s="5">
        <f>COUNTIF($B$1:$B$1475, B176)</f>
        <v>43</v>
      </c>
      <c r="N176" s="5">
        <f>COUNTIF($H$2:$H$1465, H176)</f>
        <v>51</v>
      </c>
    </row>
    <row r="177" spans="1:14">
      <c r="A177" s="33" t="s">
        <v>879</v>
      </c>
      <c r="B177" s="34" t="s">
        <v>737</v>
      </c>
      <c r="C177" s="34" t="s">
        <v>737</v>
      </c>
      <c r="D177" s="34" t="s">
        <v>760</v>
      </c>
      <c r="E177" s="34" t="s">
        <v>760</v>
      </c>
      <c r="F177" s="34">
        <v>1</v>
      </c>
      <c r="G177" s="34" t="s">
        <v>760</v>
      </c>
      <c r="H177" s="54">
        <v>45967</v>
      </c>
      <c r="I177" s="34"/>
      <c r="J177" s="34" t="s">
        <v>880</v>
      </c>
      <c r="K177" s="36"/>
      <c r="L177" s="35" t="s">
        <v>24</v>
      </c>
      <c r="M177" s="5">
        <f>COUNTIF($B$1:$B$1475, B177)</f>
        <v>43</v>
      </c>
      <c r="N177" s="5">
        <f>COUNTIF($H$2:$H$1465, H177)</f>
        <v>51</v>
      </c>
    </row>
    <row r="178" spans="1:14">
      <c r="A178" s="30" t="s">
        <v>881</v>
      </c>
      <c r="B178" s="31" t="s">
        <v>737</v>
      </c>
      <c r="C178" s="31" t="s">
        <v>737</v>
      </c>
      <c r="D178" s="31" t="s">
        <v>760</v>
      </c>
      <c r="E178" s="31" t="s">
        <v>818</v>
      </c>
      <c r="F178" s="31">
        <v>7</v>
      </c>
      <c r="G178" s="31" t="s">
        <v>760</v>
      </c>
      <c r="H178" s="53">
        <v>45967</v>
      </c>
      <c r="I178" s="31" t="s">
        <v>882</v>
      </c>
      <c r="J178" s="31" t="s">
        <v>883</v>
      </c>
      <c r="K178" s="37"/>
      <c r="L178" s="32" t="s">
        <v>24</v>
      </c>
      <c r="M178" s="5">
        <f>COUNTIF($B$1:$B$1475, B178)</f>
        <v>43</v>
      </c>
      <c r="N178" s="5">
        <f>COUNTIF($H$2:$H$1465, H178)</f>
        <v>51</v>
      </c>
    </row>
    <row r="179" spans="1:14">
      <c r="A179" s="33" t="s">
        <v>884</v>
      </c>
      <c r="B179" s="34" t="s">
        <v>737</v>
      </c>
      <c r="C179" s="34" t="s">
        <v>737</v>
      </c>
      <c r="D179" s="34" t="s">
        <v>760</v>
      </c>
      <c r="E179" s="34" t="s">
        <v>761</v>
      </c>
      <c r="F179" s="34">
        <v>3</v>
      </c>
      <c r="G179" s="34" t="s">
        <v>760</v>
      </c>
      <c r="H179" s="54">
        <v>45967</v>
      </c>
      <c r="I179" s="34"/>
      <c r="J179" s="34" t="s">
        <v>885</v>
      </c>
      <c r="K179" s="36"/>
      <c r="L179" s="35" t="s">
        <v>24</v>
      </c>
      <c r="M179" s="5">
        <f>COUNTIF($B$1:$B$1475, B179)</f>
        <v>43</v>
      </c>
      <c r="N179" s="5">
        <f>COUNTIF($H$2:$H$1465, H179)</f>
        <v>51</v>
      </c>
    </row>
    <row r="180" spans="1:14">
      <c r="A180" s="30" t="s">
        <v>886</v>
      </c>
      <c r="B180" s="31" t="s">
        <v>737</v>
      </c>
      <c r="C180" s="31" t="s">
        <v>737</v>
      </c>
      <c r="D180" s="31" t="s">
        <v>760</v>
      </c>
      <c r="E180" s="31" t="s">
        <v>760</v>
      </c>
      <c r="F180" s="31">
        <v>1</v>
      </c>
      <c r="G180" s="31" t="s">
        <v>760</v>
      </c>
      <c r="H180" s="53">
        <v>45967</v>
      </c>
      <c r="I180" s="31"/>
      <c r="J180" s="31" t="s">
        <v>887</v>
      </c>
      <c r="K180" s="37"/>
      <c r="L180" s="32" t="s">
        <v>24</v>
      </c>
      <c r="M180" s="5">
        <f>COUNTIF($B$1:$B$1475, B180)</f>
        <v>43</v>
      </c>
      <c r="N180" s="5">
        <f>COUNTIF($H$2:$H$1465, H180)</f>
        <v>51</v>
      </c>
    </row>
    <row r="181" spans="1:14">
      <c r="A181" s="33" t="s">
        <v>888</v>
      </c>
      <c r="B181" s="34" t="s">
        <v>737</v>
      </c>
      <c r="C181" s="34" t="s">
        <v>737</v>
      </c>
      <c r="D181" s="34" t="s">
        <v>760</v>
      </c>
      <c r="E181" s="34" t="s">
        <v>818</v>
      </c>
      <c r="F181" s="34">
        <v>7</v>
      </c>
      <c r="G181" s="34" t="s">
        <v>760</v>
      </c>
      <c r="H181" s="54">
        <v>45967</v>
      </c>
      <c r="I181" s="34" t="s">
        <v>889</v>
      </c>
      <c r="J181" s="34" t="s">
        <v>890</v>
      </c>
      <c r="K181" s="36"/>
      <c r="L181" s="35" t="s">
        <v>24</v>
      </c>
      <c r="M181" s="5">
        <f>COUNTIF($B$1:$B$1475, B181)</f>
        <v>43</v>
      </c>
      <c r="N181" s="5">
        <f>COUNTIF($H$2:$H$1465, H181)</f>
        <v>51</v>
      </c>
    </row>
    <row r="182" spans="1:14">
      <c r="A182" s="30" t="s">
        <v>891</v>
      </c>
      <c r="B182" s="31" t="s">
        <v>737</v>
      </c>
      <c r="C182" s="31" t="s">
        <v>737</v>
      </c>
      <c r="D182" s="31" t="s">
        <v>760</v>
      </c>
      <c r="E182" s="31" t="s">
        <v>798</v>
      </c>
      <c r="F182" s="31">
        <v>4</v>
      </c>
      <c r="G182" s="31" t="s">
        <v>773</v>
      </c>
      <c r="H182" s="53">
        <v>45967</v>
      </c>
      <c r="I182" s="31"/>
      <c r="J182" s="31" t="s">
        <v>892</v>
      </c>
      <c r="K182" s="37"/>
      <c r="L182" s="32" t="s">
        <v>24</v>
      </c>
      <c r="M182" s="5">
        <f>COUNTIF($B$1:$B$1475, B182)</f>
        <v>43</v>
      </c>
      <c r="N182" s="5">
        <f>COUNTIF($H$2:$H$1465, H182)</f>
        <v>51</v>
      </c>
    </row>
    <row r="183" spans="1:14">
      <c r="A183" s="33" t="s">
        <v>893</v>
      </c>
      <c r="B183" s="34" t="s">
        <v>737</v>
      </c>
      <c r="C183" s="34" t="s">
        <v>737</v>
      </c>
      <c r="D183" s="34" t="s">
        <v>760</v>
      </c>
      <c r="E183" s="34" t="s">
        <v>798</v>
      </c>
      <c r="F183" s="34">
        <v>4</v>
      </c>
      <c r="G183" s="34" t="s">
        <v>773</v>
      </c>
      <c r="H183" s="54">
        <v>45967</v>
      </c>
      <c r="I183" s="34"/>
      <c r="J183" s="34" t="s">
        <v>894</v>
      </c>
      <c r="K183" s="36"/>
      <c r="L183" s="35" t="s">
        <v>24</v>
      </c>
      <c r="M183" s="5">
        <f>COUNTIF($B$1:$B$1475, B183)</f>
        <v>43</v>
      </c>
      <c r="N183" s="5">
        <f>COUNTIF($H$2:$H$1465, H183)</f>
        <v>51</v>
      </c>
    </row>
    <row r="184" spans="1:14">
      <c r="A184" s="30" t="s">
        <v>895</v>
      </c>
      <c r="B184" s="31" t="s">
        <v>65</v>
      </c>
      <c r="C184" s="31" t="s">
        <v>58</v>
      </c>
      <c r="D184" s="31" t="s">
        <v>896</v>
      </c>
      <c r="E184" s="31" t="s">
        <v>790</v>
      </c>
      <c r="F184" s="31">
        <v>2</v>
      </c>
      <c r="G184" s="31" t="s">
        <v>841</v>
      </c>
      <c r="H184" s="53">
        <v>45966</v>
      </c>
      <c r="I184" s="31" t="s">
        <v>897</v>
      </c>
      <c r="J184" s="31" t="s">
        <v>898</v>
      </c>
      <c r="K184" s="31" t="s">
        <v>899</v>
      </c>
      <c r="L184" s="32" t="s">
        <v>24</v>
      </c>
      <c r="M184" s="5">
        <f>COUNTIF($B$1:$B$1475, B184)</f>
        <v>35</v>
      </c>
      <c r="N184" s="5">
        <f>COUNTIF($H$2:$H$1465, H184)</f>
        <v>40</v>
      </c>
    </row>
    <row r="185" spans="1:14">
      <c r="A185" s="33" t="s">
        <v>900</v>
      </c>
      <c r="B185" s="34" t="s">
        <v>65</v>
      </c>
      <c r="C185" s="34" t="s">
        <v>58</v>
      </c>
      <c r="D185" s="34" t="s">
        <v>896</v>
      </c>
      <c r="E185" s="34" t="s">
        <v>790</v>
      </c>
      <c r="F185" s="34">
        <v>2</v>
      </c>
      <c r="G185" s="34" t="s">
        <v>841</v>
      </c>
      <c r="H185" s="54">
        <v>45966</v>
      </c>
      <c r="I185" s="34" t="s">
        <v>901</v>
      </c>
      <c r="J185" s="34" t="s">
        <v>902</v>
      </c>
      <c r="K185" s="34" t="s">
        <v>903</v>
      </c>
      <c r="L185" s="35" t="s">
        <v>24</v>
      </c>
      <c r="M185" s="5">
        <f>COUNTIF($B$1:$B$1475, B185)</f>
        <v>35</v>
      </c>
      <c r="N185" s="5">
        <f>COUNTIF($H$2:$H$1465, H185)</f>
        <v>40</v>
      </c>
    </row>
    <row r="186" spans="1:14">
      <c r="A186" s="30" t="s">
        <v>904</v>
      </c>
      <c r="B186" s="31" t="s">
        <v>905</v>
      </c>
      <c r="C186" s="31" t="s">
        <v>906</v>
      </c>
      <c r="D186" s="31" t="s">
        <v>907</v>
      </c>
      <c r="E186" s="31" t="s">
        <v>907</v>
      </c>
      <c r="F186" s="31">
        <v>1</v>
      </c>
      <c r="G186" s="31" t="s">
        <v>907</v>
      </c>
      <c r="H186" s="53">
        <v>45966</v>
      </c>
      <c r="I186" s="31" t="s">
        <v>908</v>
      </c>
      <c r="J186" s="31" t="s">
        <v>909</v>
      </c>
      <c r="K186" s="31" t="s">
        <v>910</v>
      </c>
      <c r="L186" s="32" t="s">
        <v>24</v>
      </c>
      <c r="M186" s="5">
        <f>COUNTIF($B$1:$B$1475, B186)</f>
        <v>2</v>
      </c>
      <c r="N186" s="5">
        <f>COUNTIF($H$2:$H$1465, H186)</f>
        <v>40</v>
      </c>
    </row>
    <row r="187" spans="1:14">
      <c r="A187" s="33" t="s">
        <v>911</v>
      </c>
      <c r="B187" s="34" t="s">
        <v>117</v>
      </c>
      <c r="C187" s="34" t="s">
        <v>118</v>
      </c>
      <c r="D187" s="34" t="s">
        <v>790</v>
      </c>
      <c r="E187" s="34" t="s">
        <v>912</v>
      </c>
      <c r="F187" s="34">
        <v>2</v>
      </c>
      <c r="G187" s="34" t="s">
        <v>913</v>
      </c>
      <c r="H187" s="54">
        <v>45966</v>
      </c>
      <c r="I187" s="34" t="s">
        <v>914</v>
      </c>
      <c r="J187" s="34" t="s">
        <v>915</v>
      </c>
      <c r="K187" s="34" t="s">
        <v>124</v>
      </c>
      <c r="L187" s="35" t="s">
        <v>24</v>
      </c>
      <c r="M187" s="5">
        <f>COUNTIF($B$1:$B$1475, B187)</f>
        <v>23</v>
      </c>
      <c r="N187" s="5">
        <f>COUNTIF($H$2:$H$1465, H187)</f>
        <v>40</v>
      </c>
    </row>
    <row r="188" spans="1:14">
      <c r="A188" s="30" t="s">
        <v>916</v>
      </c>
      <c r="B188" s="31" t="s">
        <v>65</v>
      </c>
      <c r="C188" s="31" t="s">
        <v>58</v>
      </c>
      <c r="D188" s="31" t="s">
        <v>896</v>
      </c>
      <c r="E188" s="31" t="s">
        <v>790</v>
      </c>
      <c r="F188" s="31">
        <v>2</v>
      </c>
      <c r="G188" s="31" t="s">
        <v>841</v>
      </c>
      <c r="H188" s="53">
        <v>45966</v>
      </c>
      <c r="I188" s="31" t="s">
        <v>917</v>
      </c>
      <c r="J188" s="31" t="s">
        <v>918</v>
      </c>
      <c r="K188" s="31" t="s">
        <v>919</v>
      </c>
      <c r="L188" s="32" t="s">
        <v>24</v>
      </c>
      <c r="M188" s="5">
        <f>COUNTIF($B$1:$B$1475, B188)</f>
        <v>35</v>
      </c>
      <c r="N188" s="5">
        <f>COUNTIF($H$2:$H$1465, H188)</f>
        <v>40</v>
      </c>
    </row>
    <row r="189" spans="1:14">
      <c r="A189" s="33" t="s">
        <v>920</v>
      </c>
      <c r="B189" s="34" t="s">
        <v>641</v>
      </c>
      <c r="C189" s="34" t="s">
        <v>642</v>
      </c>
      <c r="D189" s="34" t="s">
        <v>921</v>
      </c>
      <c r="E189" s="34" t="s">
        <v>921</v>
      </c>
      <c r="F189" s="34">
        <v>1</v>
      </c>
      <c r="G189" s="34" t="s">
        <v>921</v>
      </c>
      <c r="H189" s="54">
        <v>45966</v>
      </c>
      <c r="I189" s="34" t="s">
        <v>922</v>
      </c>
      <c r="J189" s="34" t="s">
        <v>923</v>
      </c>
      <c r="K189" s="34" t="s">
        <v>924</v>
      </c>
      <c r="L189" s="35" t="s">
        <v>24</v>
      </c>
      <c r="M189" s="5">
        <f>COUNTIF($B$1:$B$1475, B189)</f>
        <v>3</v>
      </c>
      <c r="N189" s="5">
        <f>COUNTIF($H$2:$H$1465, H189)</f>
        <v>40</v>
      </c>
    </row>
    <row r="190" spans="1:14">
      <c r="A190" s="30" t="s">
        <v>925</v>
      </c>
      <c r="B190" s="31" t="s">
        <v>117</v>
      </c>
      <c r="C190" s="31" t="s">
        <v>118</v>
      </c>
      <c r="D190" s="31" t="s">
        <v>912</v>
      </c>
      <c r="E190" s="31" t="s">
        <v>926</v>
      </c>
      <c r="F190" s="31">
        <v>2</v>
      </c>
      <c r="G190" s="31" t="s">
        <v>927</v>
      </c>
      <c r="H190" s="53">
        <v>45966</v>
      </c>
      <c r="I190" s="31" t="s">
        <v>928</v>
      </c>
      <c r="J190" s="31" t="s">
        <v>929</v>
      </c>
      <c r="K190" s="31" t="s">
        <v>930</v>
      </c>
      <c r="L190" s="32" t="s">
        <v>24</v>
      </c>
      <c r="M190" s="5">
        <f>COUNTIF($B$1:$B$1475, B190)</f>
        <v>23</v>
      </c>
      <c r="N190" s="5">
        <f>COUNTIF($H$2:$H$1465, H190)</f>
        <v>40</v>
      </c>
    </row>
    <row r="191" spans="1:14">
      <c r="A191" s="33" t="s">
        <v>931</v>
      </c>
      <c r="B191" s="34" t="s">
        <v>90</v>
      </c>
      <c r="C191" s="34" t="s">
        <v>91</v>
      </c>
      <c r="D191" s="34" t="s">
        <v>790</v>
      </c>
      <c r="E191" s="34" t="s">
        <v>790</v>
      </c>
      <c r="F191" s="34">
        <v>1</v>
      </c>
      <c r="G191" s="34" t="s">
        <v>790</v>
      </c>
      <c r="H191" s="54">
        <v>45966</v>
      </c>
      <c r="I191" s="34" t="s">
        <v>932</v>
      </c>
      <c r="J191" s="34" t="s">
        <v>933</v>
      </c>
      <c r="K191" s="34" t="s">
        <v>934</v>
      </c>
      <c r="L191" s="35" t="s">
        <v>24</v>
      </c>
      <c r="M191" s="5">
        <f>COUNTIF($B$1:$B$1475, B191)</f>
        <v>10</v>
      </c>
      <c r="N191" s="5">
        <f>COUNTIF($H$2:$H$1465, H191)</f>
        <v>40</v>
      </c>
    </row>
    <row r="192" spans="1:14">
      <c r="A192" s="30" t="s">
        <v>935</v>
      </c>
      <c r="B192" s="31" t="s">
        <v>65</v>
      </c>
      <c r="C192" s="31" t="s">
        <v>58</v>
      </c>
      <c r="D192" s="31" t="s">
        <v>896</v>
      </c>
      <c r="E192" s="31" t="s">
        <v>790</v>
      </c>
      <c r="F192" s="31">
        <v>2</v>
      </c>
      <c r="G192" s="31" t="s">
        <v>841</v>
      </c>
      <c r="H192" s="53">
        <v>45966</v>
      </c>
      <c r="I192" s="31" t="s">
        <v>936</v>
      </c>
      <c r="J192" s="31" t="s">
        <v>937</v>
      </c>
      <c r="K192" s="31" t="s">
        <v>938</v>
      </c>
      <c r="L192" s="32" t="s">
        <v>24</v>
      </c>
      <c r="M192" s="5">
        <f>COUNTIF($B$1:$B$1475, B192)</f>
        <v>35</v>
      </c>
      <c r="N192" s="5">
        <f>COUNTIF($H$2:$H$1465, H192)</f>
        <v>40</v>
      </c>
    </row>
    <row r="193" spans="1:14">
      <c r="A193" s="33" t="s">
        <v>939</v>
      </c>
      <c r="B193" s="34" t="s">
        <v>940</v>
      </c>
      <c r="C193" s="34" t="s">
        <v>941</v>
      </c>
      <c r="D193" s="34" t="s">
        <v>854</v>
      </c>
      <c r="E193" s="34" t="s">
        <v>942</v>
      </c>
      <c r="F193" s="34">
        <v>2</v>
      </c>
      <c r="G193" s="34" t="s">
        <v>854</v>
      </c>
      <c r="H193" s="54">
        <v>45966</v>
      </c>
      <c r="I193" s="34" t="s">
        <v>943</v>
      </c>
      <c r="J193" s="34" t="s">
        <v>944</v>
      </c>
      <c r="K193" s="34" t="s">
        <v>945</v>
      </c>
      <c r="L193" s="35" t="s">
        <v>24</v>
      </c>
      <c r="M193" s="5">
        <f>COUNTIF($B$1:$B$1475, B193)</f>
        <v>3</v>
      </c>
      <c r="N193" s="5">
        <f>COUNTIF($H$2:$H$1465, H193)</f>
        <v>40</v>
      </c>
    </row>
    <row r="194" spans="1:14">
      <c r="A194" s="30" t="s">
        <v>946</v>
      </c>
      <c r="B194" s="31" t="s">
        <v>251</v>
      </c>
      <c r="C194" s="31" t="s">
        <v>252</v>
      </c>
      <c r="D194" s="31" t="s">
        <v>947</v>
      </c>
      <c r="E194" s="31" t="s">
        <v>947</v>
      </c>
      <c r="F194" s="31">
        <v>1</v>
      </c>
      <c r="G194" s="31" t="s">
        <v>947</v>
      </c>
      <c r="H194" s="53">
        <v>45966</v>
      </c>
      <c r="I194" s="31" t="s">
        <v>948</v>
      </c>
      <c r="J194" s="31" t="s">
        <v>949</v>
      </c>
      <c r="K194" s="31" t="s">
        <v>950</v>
      </c>
      <c r="L194" s="32" t="s">
        <v>24</v>
      </c>
      <c r="M194" s="5">
        <f>COUNTIF($B$1:$B$1475, B194)</f>
        <v>10</v>
      </c>
      <c r="N194" s="5">
        <f>COUNTIF($H$2:$H$1465, H194)</f>
        <v>40</v>
      </c>
    </row>
    <row r="195" spans="1:14">
      <c r="A195" s="33" t="s">
        <v>951</v>
      </c>
      <c r="B195" s="34" t="s">
        <v>952</v>
      </c>
      <c r="C195" s="34" t="s">
        <v>953</v>
      </c>
      <c r="D195" s="34" t="s">
        <v>926</v>
      </c>
      <c r="E195" s="34" t="s">
        <v>954</v>
      </c>
      <c r="F195" s="34">
        <v>10</v>
      </c>
      <c r="G195" s="34" t="s">
        <v>955</v>
      </c>
      <c r="H195" s="54">
        <v>45966</v>
      </c>
      <c r="I195" s="34" t="s">
        <v>956</v>
      </c>
      <c r="J195" s="34" t="s">
        <v>957</v>
      </c>
      <c r="K195" s="34" t="s">
        <v>958</v>
      </c>
      <c r="L195" s="35" t="s">
        <v>301</v>
      </c>
      <c r="M195" s="5">
        <f>COUNTIF($B$1:$B$1475, B195)</f>
        <v>1</v>
      </c>
      <c r="N195" s="5">
        <f>COUNTIF($H$2:$H$1465, H195)</f>
        <v>40</v>
      </c>
    </row>
    <row r="196" spans="1:14">
      <c r="A196" s="30" t="s">
        <v>959</v>
      </c>
      <c r="B196" s="31" t="s">
        <v>236</v>
      </c>
      <c r="C196" s="31" t="s">
        <v>237</v>
      </c>
      <c r="D196" s="31" t="s">
        <v>840</v>
      </c>
      <c r="E196" s="31" t="s">
        <v>840</v>
      </c>
      <c r="F196" s="31">
        <v>1</v>
      </c>
      <c r="G196" s="31" t="s">
        <v>840</v>
      </c>
      <c r="H196" s="53">
        <v>45966</v>
      </c>
      <c r="I196" s="31" t="s">
        <v>960</v>
      </c>
      <c r="J196" s="31" t="s">
        <v>961</v>
      </c>
      <c r="K196" s="31" t="s">
        <v>962</v>
      </c>
      <c r="L196" s="32" t="s">
        <v>24</v>
      </c>
      <c r="M196" s="5">
        <f>COUNTIF($B$1:$B$1475, B196)</f>
        <v>2</v>
      </c>
      <c r="N196" s="5">
        <f>COUNTIF($H$2:$H$1465, H196)</f>
        <v>40</v>
      </c>
    </row>
    <row r="197" spans="1:14">
      <c r="A197" s="33" t="s">
        <v>963</v>
      </c>
      <c r="B197" s="34" t="s">
        <v>964</v>
      </c>
      <c r="C197" s="34" t="s">
        <v>965</v>
      </c>
      <c r="D197" s="34" t="s">
        <v>833</v>
      </c>
      <c r="E197" s="34" t="s">
        <v>833</v>
      </c>
      <c r="F197" s="34">
        <v>1</v>
      </c>
      <c r="G197" s="34" t="s">
        <v>833</v>
      </c>
      <c r="H197" s="54">
        <v>45966</v>
      </c>
      <c r="I197" s="34" t="s">
        <v>966</v>
      </c>
      <c r="J197" s="34" t="s">
        <v>967</v>
      </c>
      <c r="K197" s="34" t="s">
        <v>968</v>
      </c>
      <c r="L197" s="35" t="s">
        <v>24</v>
      </c>
      <c r="M197" s="5">
        <f>COUNTIF($B$1:$B$1475, B197)</f>
        <v>1</v>
      </c>
      <c r="N197" s="5">
        <f>COUNTIF($H$2:$H$1465, H197)</f>
        <v>40</v>
      </c>
    </row>
    <row r="198" spans="1:14">
      <c r="A198" s="30" t="s">
        <v>969</v>
      </c>
      <c r="B198" s="31" t="s">
        <v>555</v>
      </c>
      <c r="C198" s="31" t="s">
        <v>556</v>
      </c>
      <c r="D198" s="31" t="s">
        <v>970</v>
      </c>
      <c r="E198" s="31" t="s">
        <v>971</v>
      </c>
      <c r="F198" s="31">
        <v>10</v>
      </c>
      <c r="G198" s="31" t="s">
        <v>972</v>
      </c>
      <c r="H198" s="53">
        <v>45966</v>
      </c>
      <c r="I198" s="31" t="s">
        <v>973</v>
      </c>
      <c r="J198" s="31" t="s">
        <v>974</v>
      </c>
      <c r="K198" s="31" t="s">
        <v>562</v>
      </c>
      <c r="L198" s="32" t="s">
        <v>24</v>
      </c>
      <c r="M198" s="5">
        <f>COUNTIF($B$1:$B$1475, B198)</f>
        <v>8</v>
      </c>
      <c r="N198" s="5">
        <f>COUNTIF($H$2:$H$1465, H198)</f>
        <v>40</v>
      </c>
    </row>
    <row r="199" spans="1:14">
      <c r="A199" s="33" t="s">
        <v>975</v>
      </c>
      <c r="B199" s="34" t="s">
        <v>103</v>
      </c>
      <c r="C199" s="34" t="s">
        <v>104</v>
      </c>
      <c r="D199" s="34" t="s">
        <v>976</v>
      </c>
      <c r="E199" s="34" t="s">
        <v>976</v>
      </c>
      <c r="F199" s="34">
        <v>1</v>
      </c>
      <c r="G199" s="34" t="s">
        <v>976</v>
      </c>
      <c r="H199" s="54">
        <v>45966</v>
      </c>
      <c r="I199" s="34" t="s">
        <v>977</v>
      </c>
      <c r="J199" s="34" t="s">
        <v>978</v>
      </c>
      <c r="K199" s="34" t="s">
        <v>979</v>
      </c>
      <c r="L199" s="35" t="s">
        <v>24</v>
      </c>
      <c r="M199" s="5">
        <f>COUNTIF($B$1:$B$1475, B199)</f>
        <v>17</v>
      </c>
      <c r="N199" s="5">
        <f>COUNTIF($H$2:$H$1465, H199)</f>
        <v>40</v>
      </c>
    </row>
    <row r="200" spans="1:14">
      <c r="A200" s="30" t="s">
        <v>980</v>
      </c>
      <c r="B200" s="31" t="s">
        <v>981</v>
      </c>
      <c r="C200" s="31" t="s">
        <v>982</v>
      </c>
      <c r="D200" s="31" t="s">
        <v>947</v>
      </c>
      <c r="E200" s="31" t="s">
        <v>976</v>
      </c>
      <c r="F200" s="31">
        <v>2</v>
      </c>
      <c r="G200" s="31" t="s">
        <v>983</v>
      </c>
      <c r="H200" s="53">
        <v>45966</v>
      </c>
      <c r="I200" s="31" t="s">
        <v>984</v>
      </c>
      <c r="J200" s="31" t="s">
        <v>985</v>
      </c>
      <c r="K200" s="31" t="s">
        <v>986</v>
      </c>
      <c r="L200" s="32" t="s">
        <v>24</v>
      </c>
      <c r="M200" s="5">
        <f>COUNTIF($B$1:$B$1475, B200)</f>
        <v>2</v>
      </c>
      <c r="N200" s="5">
        <f>COUNTIF($H$2:$H$1465, H200)</f>
        <v>40</v>
      </c>
    </row>
    <row r="201" spans="1:14">
      <c r="A201" s="33" t="s">
        <v>987</v>
      </c>
      <c r="B201" s="34" t="s">
        <v>988</v>
      </c>
      <c r="C201" s="34" t="s">
        <v>989</v>
      </c>
      <c r="D201" s="34" t="s">
        <v>790</v>
      </c>
      <c r="E201" s="34" t="s">
        <v>790</v>
      </c>
      <c r="F201" s="34">
        <v>1</v>
      </c>
      <c r="G201" s="34" t="s">
        <v>790</v>
      </c>
      <c r="H201" s="54">
        <v>45966</v>
      </c>
      <c r="I201" s="34" t="s">
        <v>990</v>
      </c>
      <c r="J201" s="34" t="s">
        <v>991</v>
      </c>
      <c r="K201" s="34" t="s">
        <v>992</v>
      </c>
      <c r="L201" s="35" t="s">
        <v>24</v>
      </c>
      <c r="M201" s="5">
        <f>COUNTIF($B$1:$B$1475, B201)</f>
        <v>2</v>
      </c>
      <c r="N201" s="5">
        <f>COUNTIF($H$2:$H$1465, H201)</f>
        <v>40</v>
      </c>
    </row>
    <row r="202" spans="1:14">
      <c r="A202" s="30" t="s">
        <v>993</v>
      </c>
      <c r="B202" s="31" t="s">
        <v>994</v>
      </c>
      <c r="C202" s="31" t="s">
        <v>995</v>
      </c>
      <c r="D202" s="31" t="s">
        <v>840</v>
      </c>
      <c r="E202" s="31" t="s">
        <v>840</v>
      </c>
      <c r="F202" s="31">
        <v>1</v>
      </c>
      <c r="G202" s="31" t="s">
        <v>840</v>
      </c>
      <c r="H202" s="53">
        <v>45966</v>
      </c>
      <c r="I202" s="31" t="s">
        <v>996</v>
      </c>
      <c r="J202" s="31" t="s">
        <v>997</v>
      </c>
      <c r="K202" s="31" t="s">
        <v>998</v>
      </c>
      <c r="L202" s="32" t="s">
        <v>24</v>
      </c>
      <c r="M202" s="5">
        <f>COUNTIF($B$1:$B$1475, B202)</f>
        <v>3</v>
      </c>
      <c r="N202" s="5">
        <f>COUNTIF($H$2:$H$1465, H202)</f>
        <v>40</v>
      </c>
    </row>
    <row r="203" spans="1:14">
      <c r="A203" s="33" t="s">
        <v>999</v>
      </c>
      <c r="B203" s="34" t="s">
        <v>1000</v>
      </c>
      <c r="C203" s="34" t="s">
        <v>1001</v>
      </c>
      <c r="D203" s="34" t="s">
        <v>1002</v>
      </c>
      <c r="E203" s="34" t="s">
        <v>1003</v>
      </c>
      <c r="F203" s="34">
        <v>8</v>
      </c>
      <c r="G203" s="34" t="s">
        <v>1004</v>
      </c>
      <c r="H203" s="54">
        <v>45966</v>
      </c>
      <c r="I203" s="34" t="s">
        <v>1005</v>
      </c>
      <c r="J203" s="34" t="s">
        <v>1006</v>
      </c>
      <c r="K203" s="34" t="s">
        <v>1007</v>
      </c>
      <c r="L203" s="35" t="s">
        <v>301</v>
      </c>
      <c r="M203" s="5">
        <f>COUNTIF($B$1:$B$1475, B203)</f>
        <v>3</v>
      </c>
      <c r="N203" s="5">
        <f>COUNTIF($H$2:$H$1465, H203)</f>
        <v>40</v>
      </c>
    </row>
    <row r="204" spans="1:14">
      <c r="A204" s="30" t="s">
        <v>1008</v>
      </c>
      <c r="B204" s="31" t="s">
        <v>1009</v>
      </c>
      <c r="C204" s="31" t="s">
        <v>1010</v>
      </c>
      <c r="D204" s="31" t="s">
        <v>779</v>
      </c>
      <c r="E204" s="31" t="s">
        <v>779</v>
      </c>
      <c r="F204" s="31">
        <v>1</v>
      </c>
      <c r="G204" s="31" t="s">
        <v>779</v>
      </c>
      <c r="H204" s="53">
        <v>45966</v>
      </c>
      <c r="I204" s="31" t="s">
        <v>1011</v>
      </c>
      <c r="J204" s="31" t="s">
        <v>1012</v>
      </c>
      <c r="K204" s="31" t="s">
        <v>1013</v>
      </c>
      <c r="L204" s="32" t="s">
        <v>24</v>
      </c>
      <c r="M204" s="5">
        <f>COUNTIF($B$1:$B$1475, B204)</f>
        <v>1</v>
      </c>
      <c r="N204" s="5">
        <f>COUNTIF($H$2:$H$1465, H204)</f>
        <v>40</v>
      </c>
    </row>
    <row r="205" spans="1:14">
      <c r="A205" s="33" t="s">
        <v>1014</v>
      </c>
      <c r="B205" s="34" t="s">
        <v>641</v>
      </c>
      <c r="C205" s="34" t="s">
        <v>642</v>
      </c>
      <c r="D205" s="34" t="s">
        <v>921</v>
      </c>
      <c r="E205" s="34" t="s">
        <v>921</v>
      </c>
      <c r="F205" s="34">
        <v>1</v>
      </c>
      <c r="G205" s="34" t="s">
        <v>921</v>
      </c>
      <c r="H205" s="54">
        <v>45966</v>
      </c>
      <c r="I205" s="34" t="s">
        <v>1015</v>
      </c>
      <c r="J205" s="34" t="s">
        <v>1016</v>
      </c>
      <c r="K205" s="34" t="s">
        <v>1017</v>
      </c>
      <c r="L205" s="35" t="s">
        <v>24</v>
      </c>
      <c r="M205" s="5">
        <f>COUNTIF($B$1:$B$1475, B205)</f>
        <v>3</v>
      </c>
      <c r="N205" s="5">
        <f>COUNTIF($H$2:$H$1465, H205)</f>
        <v>40</v>
      </c>
    </row>
    <row r="206" spans="1:14">
      <c r="A206" s="30" t="s">
        <v>1018</v>
      </c>
      <c r="B206" s="31" t="s">
        <v>336</v>
      </c>
      <c r="C206" s="31" t="s">
        <v>337</v>
      </c>
      <c r="D206" s="31" t="s">
        <v>947</v>
      </c>
      <c r="E206" s="31" t="s">
        <v>947</v>
      </c>
      <c r="F206" s="31">
        <v>1</v>
      </c>
      <c r="G206" s="31" t="s">
        <v>947</v>
      </c>
      <c r="H206" s="53">
        <v>45966</v>
      </c>
      <c r="I206" s="31" t="s">
        <v>1019</v>
      </c>
      <c r="J206" s="31" t="s">
        <v>1020</v>
      </c>
      <c r="K206" s="31" t="s">
        <v>1021</v>
      </c>
      <c r="L206" s="32" t="s">
        <v>24</v>
      </c>
      <c r="M206" s="5">
        <f>COUNTIF($B$1:$B$1475, B206)</f>
        <v>2</v>
      </c>
      <c r="N206" s="5">
        <f>COUNTIF($H$2:$H$1465, H206)</f>
        <v>40</v>
      </c>
    </row>
    <row r="207" spans="1:14">
      <c r="A207" s="33" t="s">
        <v>1022</v>
      </c>
      <c r="B207" s="34" t="s">
        <v>1023</v>
      </c>
      <c r="C207" s="34" t="s">
        <v>1024</v>
      </c>
      <c r="D207" s="34" t="s">
        <v>921</v>
      </c>
      <c r="E207" s="34" t="s">
        <v>921</v>
      </c>
      <c r="F207" s="34">
        <v>1</v>
      </c>
      <c r="G207" s="34" t="s">
        <v>921</v>
      </c>
      <c r="H207" s="54">
        <v>45966</v>
      </c>
      <c r="I207" s="34" t="s">
        <v>1025</v>
      </c>
      <c r="J207" s="34" t="s">
        <v>1026</v>
      </c>
      <c r="K207" s="34" t="s">
        <v>1027</v>
      </c>
      <c r="L207" s="35" t="s">
        <v>24</v>
      </c>
      <c r="M207" s="5">
        <f>COUNTIF($B$1:$B$1475, B207)</f>
        <v>7</v>
      </c>
      <c r="N207" s="5">
        <f>COUNTIF($H$2:$H$1465, H207)</f>
        <v>40</v>
      </c>
    </row>
    <row r="208" spans="1:14">
      <c r="A208" s="30" t="s">
        <v>1028</v>
      </c>
      <c r="B208" s="31" t="s">
        <v>1029</v>
      </c>
      <c r="C208" s="31" t="s">
        <v>1029</v>
      </c>
      <c r="D208" s="31" t="s">
        <v>912</v>
      </c>
      <c r="E208" s="31" t="s">
        <v>912</v>
      </c>
      <c r="F208" s="31">
        <v>2</v>
      </c>
      <c r="G208" s="31" t="s">
        <v>913</v>
      </c>
      <c r="H208" s="53">
        <v>45966</v>
      </c>
      <c r="I208" s="31" t="s">
        <v>1030</v>
      </c>
      <c r="J208" s="31" t="s">
        <v>1031</v>
      </c>
      <c r="K208" s="31" t="s">
        <v>1032</v>
      </c>
      <c r="L208" s="32" t="s">
        <v>24</v>
      </c>
      <c r="M208" s="5">
        <f>COUNTIF($B$1:$B$1475, B208)</f>
        <v>8</v>
      </c>
      <c r="N208" s="5">
        <f>COUNTIF($H$2:$H$1465, H208)</f>
        <v>40</v>
      </c>
    </row>
    <row r="209" spans="1:14">
      <c r="A209" s="33" t="s">
        <v>1033</v>
      </c>
      <c r="B209" s="34" t="s">
        <v>1034</v>
      </c>
      <c r="C209" s="34" t="s">
        <v>701</v>
      </c>
      <c r="D209" s="34" t="s">
        <v>947</v>
      </c>
      <c r="E209" s="34" t="s">
        <v>947</v>
      </c>
      <c r="F209" s="34">
        <v>1</v>
      </c>
      <c r="G209" s="34" t="s">
        <v>947</v>
      </c>
      <c r="H209" s="54">
        <v>45966</v>
      </c>
      <c r="I209" s="34" t="s">
        <v>1035</v>
      </c>
      <c r="J209" s="34" t="s">
        <v>1036</v>
      </c>
      <c r="K209" s="34" t="s">
        <v>1037</v>
      </c>
      <c r="L209" s="35" t="s">
        <v>24</v>
      </c>
      <c r="M209" s="5">
        <f>COUNTIF($B$1:$B$1475, B209)</f>
        <v>1</v>
      </c>
      <c r="N209" s="5">
        <f>COUNTIF($H$2:$H$1465, H209)</f>
        <v>40</v>
      </c>
    </row>
    <row r="210" spans="1:14">
      <c r="A210" s="30" t="s">
        <v>1038</v>
      </c>
      <c r="B210" s="31" t="s">
        <v>1039</v>
      </c>
      <c r="C210" s="31" t="s">
        <v>1040</v>
      </c>
      <c r="D210" s="31" t="s">
        <v>840</v>
      </c>
      <c r="E210" s="31" t="s">
        <v>947</v>
      </c>
      <c r="F210" s="31">
        <v>3</v>
      </c>
      <c r="G210" s="31" t="s">
        <v>1041</v>
      </c>
      <c r="H210" s="53">
        <v>45966</v>
      </c>
      <c r="I210" s="31" t="s">
        <v>1042</v>
      </c>
      <c r="J210" s="31" t="s">
        <v>1043</v>
      </c>
      <c r="K210" s="31" t="s">
        <v>1044</v>
      </c>
      <c r="L210" s="32" t="s">
        <v>24</v>
      </c>
      <c r="M210" s="5">
        <f>COUNTIF($B$1:$B$1475, B210)</f>
        <v>3</v>
      </c>
      <c r="N210" s="5">
        <f>COUNTIF($H$2:$H$1465, H210)</f>
        <v>40</v>
      </c>
    </row>
    <row r="211" spans="1:14">
      <c r="A211" s="33" t="s">
        <v>1045</v>
      </c>
      <c r="B211" s="34" t="s">
        <v>65</v>
      </c>
      <c r="C211" s="34" t="s">
        <v>58</v>
      </c>
      <c r="D211" s="34" t="s">
        <v>896</v>
      </c>
      <c r="E211" s="34" t="s">
        <v>790</v>
      </c>
      <c r="F211" s="34">
        <v>2</v>
      </c>
      <c r="G211" s="34" t="s">
        <v>841</v>
      </c>
      <c r="H211" s="54">
        <v>45966</v>
      </c>
      <c r="I211" s="34" t="s">
        <v>1046</v>
      </c>
      <c r="J211" s="34" t="s">
        <v>1047</v>
      </c>
      <c r="K211" s="34" t="s">
        <v>1048</v>
      </c>
      <c r="L211" s="35" t="s">
        <v>24</v>
      </c>
      <c r="M211" s="5">
        <f>COUNTIF($B$1:$B$1475, B211)</f>
        <v>35</v>
      </c>
      <c r="N211" s="5">
        <f>COUNTIF($H$2:$H$1465, H211)</f>
        <v>40</v>
      </c>
    </row>
    <row r="212" spans="1:14">
      <c r="A212" s="30" t="s">
        <v>1049</v>
      </c>
      <c r="B212" s="31" t="s">
        <v>1050</v>
      </c>
      <c r="C212" s="31" t="s">
        <v>1051</v>
      </c>
      <c r="D212" s="31" t="s">
        <v>1052</v>
      </c>
      <c r="E212" s="31" t="s">
        <v>840</v>
      </c>
      <c r="F212" s="31">
        <v>2</v>
      </c>
      <c r="G212" s="31" t="s">
        <v>1053</v>
      </c>
      <c r="H212" s="53">
        <v>45966</v>
      </c>
      <c r="I212" s="31" t="s">
        <v>1054</v>
      </c>
      <c r="J212" s="31" t="s">
        <v>1055</v>
      </c>
      <c r="K212" s="31" t="s">
        <v>1056</v>
      </c>
      <c r="L212" s="32" t="s">
        <v>24</v>
      </c>
      <c r="M212" s="5">
        <f>COUNTIF($B$1:$B$1475, B212)</f>
        <v>2</v>
      </c>
      <c r="N212" s="5">
        <f>COUNTIF($H$2:$H$1465, H212)</f>
        <v>40</v>
      </c>
    </row>
    <row r="213" spans="1:14">
      <c r="A213" s="33" t="s">
        <v>1057</v>
      </c>
      <c r="B213" s="34" t="s">
        <v>1058</v>
      </c>
      <c r="C213" s="34" t="s">
        <v>1058</v>
      </c>
      <c r="D213" s="34" t="s">
        <v>1059</v>
      </c>
      <c r="E213" s="34" t="s">
        <v>1059</v>
      </c>
      <c r="F213" s="34">
        <v>1</v>
      </c>
      <c r="G213" s="34" t="s">
        <v>1059</v>
      </c>
      <c r="H213" s="54">
        <v>45966</v>
      </c>
      <c r="I213" s="34" t="s">
        <v>1060</v>
      </c>
      <c r="J213" s="34" t="s">
        <v>1061</v>
      </c>
      <c r="K213" s="34" t="s">
        <v>1062</v>
      </c>
      <c r="L213" s="35" t="s">
        <v>24</v>
      </c>
      <c r="M213" s="5">
        <f>COUNTIF($B$1:$B$1475, B213)</f>
        <v>1</v>
      </c>
      <c r="N213" s="5">
        <f>COUNTIF($H$2:$H$1465, H213)</f>
        <v>40</v>
      </c>
    </row>
    <row r="214" spans="1:14">
      <c r="A214" s="30" t="s">
        <v>1063</v>
      </c>
      <c r="B214" s="31" t="s">
        <v>57</v>
      </c>
      <c r="C214" s="31" t="s">
        <v>58</v>
      </c>
      <c r="D214" s="31" t="s">
        <v>790</v>
      </c>
      <c r="E214" s="31" t="s">
        <v>1064</v>
      </c>
      <c r="F214" s="31">
        <v>2</v>
      </c>
      <c r="G214" s="31" t="s">
        <v>1065</v>
      </c>
      <c r="H214" s="53">
        <v>45966</v>
      </c>
      <c r="I214" s="31" t="s">
        <v>1066</v>
      </c>
      <c r="J214" s="31" t="s">
        <v>1067</v>
      </c>
      <c r="K214" s="31" t="s">
        <v>1068</v>
      </c>
      <c r="L214" s="32" t="s">
        <v>24</v>
      </c>
      <c r="M214" s="5">
        <f>COUNTIF($B$1:$B$1475, B214)</f>
        <v>7</v>
      </c>
      <c r="N214" s="5">
        <f>COUNTIF($H$2:$H$1465, H214)</f>
        <v>40</v>
      </c>
    </row>
    <row r="215" spans="1:14">
      <c r="A215" s="33" t="s">
        <v>1069</v>
      </c>
      <c r="B215" s="34" t="s">
        <v>478</v>
      </c>
      <c r="C215" s="34" t="s">
        <v>479</v>
      </c>
      <c r="D215" s="34" t="s">
        <v>1070</v>
      </c>
      <c r="E215" s="34" t="s">
        <v>1070</v>
      </c>
      <c r="F215" s="34">
        <v>1</v>
      </c>
      <c r="G215" s="34" t="s">
        <v>1070</v>
      </c>
      <c r="H215" s="54">
        <v>45966</v>
      </c>
      <c r="I215" s="34" t="s">
        <v>1071</v>
      </c>
      <c r="J215" s="34" t="s">
        <v>1072</v>
      </c>
      <c r="K215" s="34" t="s">
        <v>1073</v>
      </c>
      <c r="L215" s="35" t="s">
        <v>24</v>
      </c>
      <c r="M215" s="5">
        <f>COUNTIF($B$1:$B$1475, B215)</f>
        <v>5</v>
      </c>
      <c r="N215" s="5">
        <f>COUNTIF($H$2:$H$1465, H215)</f>
        <v>40</v>
      </c>
    </row>
    <row r="216" spans="1:14">
      <c r="A216" s="30" t="s">
        <v>1074</v>
      </c>
      <c r="B216" s="31" t="s">
        <v>1075</v>
      </c>
      <c r="C216" s="31" t="s">
        <v>1076</v>
      </c>
      <c r="D216" s="31" t="s">
        <v>1077</v>
      </c>
      <c r="E216" s="31" t="s">
        <v>833</v>
      </c>
      <c r="F216" s="31">
        <v>3</v>
      </c>
      <c r="G216" s="31" t="s">
        <v>1078</v>
      </c>
      <c r="H216" s="53">
        <v>45966</v>
      </c>
      <c r="I216" s="31" t="s">
        <v>1079</v>
      </c>
      <c r="J216" s="31" t="s">
        <v>1080</v>
      </c>
      <c r="K216" s="31" t="s">
        <v>1081</v>
      </c>
      <c r="L216" s="32" t="s">
        <v>24</v>
      </c>
      <c r="M216" s="5">
        <f>COUNTIF($B$1:$B$1475, B216)</f>
        <v>1</v>
      </c>
      <c r="N216" s="5">
        <f>COUNTIF($H$2:$H$1465, H216)</f>
        <v>40</v>
      </c>
    </row>
    <row r="217" spans="1:14">
      <c r="A217" s="33" t="s">
        <v>1082</v>
      </c>
      <c r="B217" s="34" t="s">
        <v>90</v>
      </c>
      <c r="C217" s="34" t="s">
        <v>91</v>
      </c>
      <c r="D217" s="34" t="s">
        <v>805</v>
      </c>
      <c r="E217" s="34" t="s">
        <v>1064</v>
      </c>
      <c r="F217" s="34">
        <v>4</v>
      </c>
      <c r="G217" s="34" t="s">
        <v>1083</v>
      </c>
      <c r="H217" s="54">
        <v>45966</v>
      </c>
      <c r="I217" s="34" t="s">
        <v>1084</v>
      </c>
      <c r="J217" s="34" t="s">
        <v>1085</v>
      </c>
      <c r="K217" s="34" t="s">
        <v>1086</v>
      </c>
      <c r="L217" s="35" t="s">
        <v>24</v>
      </c>
      <c r="M217" s="5">
        <f>COUNTIF($B$1:$B$1475, B217)</f>
        <v>10</v>
      </c>
      <c r="N217" s="5">
        <f>COUNTIF($H$2:$H$1465, H217)</f>
        <v>40</v>
      </c>
    </row>
    <row r="218" spans="1:14">
      <c r="A218" s="30" t="s">
        <v>1087</v>
      </c>
      <c r="B218" s="31" t="s">
        <v>1088</v>
      </c>
      <c r="C218" s="31" t="s">
        <v>1089</v>
      </c>
      <c r="D218" s="31" t="s">
        <v>854</v>
      </c>
      <c r="E218" s="31" t="s">
        <v>805</v>
      </c>
      <c r="F218" s="31">
        <v>2</v>
      </c>
      <c r="G218" s="31" t="s">
        <v>1090</v>
      </c>
      <c r="H218" s="53">
        <v>45966</v>
      </c>
      <c r="I218" s="31" t="s">
        <v>1091</v>
      </c>
      <c r="J218" s="31" t="s">
        <v>1092</v>
      </c>
      <c r="K218" s="31" t="s">
        <v>1093</v>
      </c>
      <c r="L218" s="32" t="s">
        <v>24</v>
      </c>
      <c r="M218" s="5">
        <f>COUNTIF($B$1:$B$1475, B218)</f>
        <v>1</v>
      </c>
      <c r="N218" s="5">
        <f>COUNTIF($H$2:$H$1465, H218)</f>
        <v>40</v>
      </c>
    </row>
    <row r="219" spans="1:14">
      <c r="A219" s="33" t="s">
        <v>1094</v>
      </c>
      <c r="B219" s="34" t="s">
        <v>1095</v>
      </c>
      <c r="C219" s="34" t="s">
        <v>1096</v>
      </c>
      <c r="D219" s="34" t="s">
        <v>779</v>
      </c>
      <c r="E219" s="34" t="s">
        <v>926</v>
      </c>
      <c r="F219" s="34">
        <v>4</v>
      </c>
      <c r="G219" s="34" t="s">
        <v>1097</v>
      </c>
      <c r="H219" s="54">
        <v>45966</v>
      </c>
      <c r="I219" s="34" t="s">
        <v>1098</v>
      </c>
      <c r="J219" s="34" t="s">
        <v>1099</v>
      </c>
      <c r="K219" s="34" t="s">
        <v>1100</v>
      </c>
      <c r="L219" s="35" t="s">
        <v>24</v>
      </c>
      <c r="M219" s="5">
        <f>COUNTIF($B$1:$B$1475, B219)</f>
        <v>2</v>
      </c>
      <c r="N219" s="5">
        <f>COUNTIF($H$2:$H$1465, H219)</f>
        <v>40</v>
      </c>
    </row>
    <row r="220" spans="1:14">
      <c r="A220" s="30" t="s">
        <v>1101</v>
      </c>
      <c r="B220" s="31" t="s">
        <v>1102</v>
      </c>
      <c r="C220" s="31" t="s">
        <v>1103</v>
      </c>
      <c r="D220" s="31" t="s">
        <v>790</v>
      </c>
      <c r="E220" s="31" t="s">
        <v>926</v>
      </c>
      <c r="F220" s="31">
        <v>3</v>
      </c>
      <c r="G220" s="31" t="s">
        <v>1104</v>
      </c>
      <c r="H220" s="53">
        <v>45966</v>
      </c>
      <c r="I220" s="31" t="s">
        <v>1105</v>
      </c>
      <c r="J220" s="31" t="s">
        <v>1106</v>
      </c>
      <c r="K220" s="31" t="s">
        <v>1107</v>
      </c>
      <c r="L220" s="32" t="s">
        <v>24</v>
      </c>
      <c r="M220" s="5">
        <f>COUNTIF($B$1:$B$1475, B220)</f>
        <v>1</v>
      </c>
      <c r="N220" s="5">
        <f>COUNTIF($H$2:$H$1465, H220)</f>
        <v>40</v>
      </c>
    </row>
    <row r="221" spans="1:14">
      <c r="A221" s="33" t="s">
        <v>1108</v>
      </c>
      <c r="B221" s="34" t="s">
        <v>26</v>
      </c>
      <c r="C221" s="34" t="s">
        <v>27</v>
      </c>
      <c r="D221" s="34" t="s">
        <v>921</v>
      </c>
      <c r="E221" s="34" t="s">
        <v>921</v>
      </c>
      <c r="F221" s="34">
        <v>1</v>
      </c>
      <c r="G221" s="34" t="s">
        <v>921</v>
      </c>
      <c r="H221" s="54">
        <v>45966</v>
      </c>
      <c r="I221" s="34" t="s">
        <v>1109</v>
      </c>
      <c r="J221" s="34" t="s">
        <v>1110</v>
      </c>
      <c r="K221" s="34" t="s">
        <v>1111</v>
      </c>
      <c r="L221" s="35" t="s">
        <v>24</v>
      </c>
      <c r="M221" s="5">
        <f>COUNTIF($B$1:$B$1475, B221)</f>
        <v>12</v>
      </c>
      <c r="N221" s="5">
        <f>COUNTIF($H$2:$H$1465, H221)</f>
        <v>40</v>
      </c>
    </row>
    <row r="222" spans="1:14">
      <c r="A222" s="30" t="s">
        <v>1112</v>
      </c>
      <c r="B222" s="31" t="s">
        <v>1113</v>
      </c>
      <c r="C222" s="31" t="s">
        <v>1114</v>
      </c>
      <c r="D222" s="31" t="s">
        <v>780</v>
      </c>
      <c r="E222" s="31" t="s">
        <v>780</v>
      </c>
      <c r="F222" s="31">
        <v>1</v>
      </c>
      <c r="G222" s="31" t="s">
        <v>780</v>
      </c>
      <c r="H222" s="53">
        <v>45966</v>
      </c>
      <c r="I222" s="31" t="s">
        <v>1115</v>
      </c>
      <c r="J222" s="31" t="s">
        <v>1116</v>
      </c>
      <c r="K222" s="31" t="s">
        <v>1117</v>
      </c>
      <c r="L222" s="32" t="s">
        <v>24</v>
      </c>
      <c r="M222" s="5">
        <f>COUNTIF($B$1:$B$1475, B222)</f>
        <v>1</v>
      </c>
      <c r="N222" s="5">
        <f>COUNTIF($H$2:$H$1465, H222)</f>
        <v>40</v>
      </c>
    </row>
    <row r="223" spans="1:14">
      <c r="A223" s="33" t="s">
        <v>1118</v>
      </c>
      <c r="B223" s="34" t="s">
        <v>206</v>
      </c>
      <c r="C223" s="34" t="s">
        <v>58</v>
      </c>
      <c r="D223" s="34" t="s">
        <v>790</v>
      </c>
      <c r="E223" s="34" t="s">
        <v>1064</v>
      </c>
      <c r="F223" s="34">
        <v>2</v>
      </c>
      <c r="G223" s="34" t="s">
        <v>1065</v>
      </c>
      <c r="H223" s="54">
        <v>45966</v>
      </c>
      <c r="I223" s="34" t="s">
        <v>1119</v>
      </c>
      <c r="J223" s="34" t="s">
        <v>1120</v>
      </c>
      <c r="K223" s="34" t="s">
        <v>1121</v>
      </c>
      <c r="L223" s="35" t="s">
        <v>24</v>
      </c>
      <c r="M223" s="5">
        <f>COUNTIF($B$1:$B$1475, B223)</f>
        <v>13</v>
      </c>
      <c r="N223" s="5">
        <f>COUNTIF($H$2:$H$1465, H223)</f>
        <v>40</v>
      </c>
    </row>
    <row r="224" spans="1:14">
      <c r="A224" s="26" t="s">
        <v>1122</v>
      </c>
      <c r="B224" s="23" t="s">
        <v>981</v>
      </c>
      <c r="C224" s="23" t="s">
        <v>982</v>
      </c>
      <c r="D224" s="27">
        <v>105.79</v>
      </c>
      <c r="E224" s="27">
        <v>105.79</v>
      </c>
      <c r="F224" s="23">
        <v>1</v>
      </c>
      <c r="G224" s="28">
        <f>E224/F224</f>
        <v>105.79</v>
      </c>
      <c r="H224" s="55" t="s">
        <v>1123</v>
      </c>
      <c r="I224" s="23" t="s">
        <v>1124</v>
      </c>
      <c r="J224" s="23" t="s">
        <v>1125</v>
      </c>
      <c r="K224" s="23" t="s">
        <v>1126</v>
      </c>
      <c r="L224" s="29" t="s">
        <v>24</v>
      </c>
      <c r="M224" s="5">
        <f>COUNTIF($B$1:$B$1475, B224)</f>
        <v>2</v>
      </c>
      <c r="N224" s="5">
        <f>COUNTIF($H$2:$H$1465, H224)</f>
        <v>1</v>
      </c>
    </row>
    <row r="225" spans="1:14">
      <c r="A225" s="30" t="s">
        <v>1127</v>
      </c>
      <c r="B225" s="31" t="s">
        <v>1128</v>
      </c>
      <c r="C225" s="31" t="s">
        <v>1129</v>
      </c>
      <c r="D225" s="31" t="s">
        <v>1130</v>
      </c>
      <c r="E225" s="31" t="s">
        <v>1130</v>
      </c>
      <c r="F225" s="31">
        <v>1</v>
      </c>
      <c r="G225" s="31" t="s">
        <v>1130</v>
      </c>
      <c r="H225" s="53">
        <v>45965</v>
      </c>
      <c r="I225" s="31" t="s">
        <v>1131</v>
      </c>
      <c r="J225" s="31" t="s">
        <v>1132</v>
      </c>
      <c r="K225" s="31" t="s">
        <v>1133</v>
      </c>
      <c r="L225" s="32" t="s">
        <v>24</v>
      </c>
      <c r="M225" s="5">
        <f>COUNTIF($B$1:$B$1475, B225)</f>
        <v>4</v>
      </c>
      <c r="N225" s="5">
        <f>COUNTIF($H$2:$H$1465, H225)</f>
        <v>16</v>
      </c>
    </row>
    <row r="226" spans="1:14">
      <c r="A226" s="33" t="s">
        <v>1134</v>
      </c>
      <c r="B226" s="34" t="s">
        <v>1128</v>
      </c>
      <c r="C226" s="34" t="s">
        <v>1129</v>
      </c>
      <c r="D226" s="34" t="s">
        <v>1135</v>
      </c>
      <c r="E226" s="34" t="s">
        <v>1135</v>
      </c>
      <c r="F226" s="34">
        <v>1</v>
      </c>
      <c r="G226" s="34" t="s">
        <v>1135</v>
      </c>
      <c r="H226" s="54">
        <v>45965</v>
      </c>
      <c r="I226" s="34" t="s">
        <v>1136</v>
      </c>
      <c r="J226" s="34" t="s">
        <v>1137</v>
      </c>
      <c r="K226" s="34" t="s">
        <v>1138</v>
      </c>
      <c r="L226" s="35" t="s">
        <v>24</v>
      </c>
      <c r="M226" s="5">
        <f>COUNTIF($B$1:$B$1475, B226)</f>
        <v>4</v>
      </c>
      <c r="N226" s="5">
        <f>COUNTIF($H$2:$H$1465, H226)</f>
        <v>16</v>
      </c>
    </row>
    <row r="227" spans="1:14">
      <c r="A227" s="30" t="s">
        <v>1139</v>
      </c>
      <c r="B227" s="31" t="s">
        <v>1140</v>
      </c>
      <c r="C227" s="31" t="s">
        <v>1141</v>
      </c>
      <c r="D227" s="31" t="s">
        <v>1142</v>
      </c>
      <c r="E227" s="31" t="s">
        <v>1142</v>
      </c>
      <c r="F227" s="31">
        <v>1</v>
      </c>
      <c r="G227" s="31" t="s">
        <v>1142</v>
      </c>
      <c r="H227" s="53">
        <v>45965</v>
      </c>
      <c r="I227" s="31" t="s">
        <v>1143</v>
      </c>
      <c r="J227" s="31" t="s">
        <v>1144</v>
      </c>
      <c r="K227" s="31" t="s">
        <v>1145</v>
      </c>
      <c r="L227" s="32" t="s">
        <v>24</v>
      </c>
      <c r="M227" s="5">
        <f>COUNTIF($B$1:$B$1475, B227)</f>
        <v>11</v>
      </c>
      <c r="N227" s="5">
        <f>COUNTIF($H$2:$H$1465, H227)</f>
        <v>16</v>
      </c>
    </row>
    <row r="228" spans="1:14">
      <c r="A228" s="33" t="s">
        <v>1146</v>
      </c>
      <c r="B228" s="34" t="s">
        <v>1147</v>
      </c>
      <c r="C228" s="34" t="s">
        <v>1148</v>
      </c>
      <c r="D228" s="34" t="s">
        <v>1130</v>
      </c>
      <c r="E228" s="34" t="s">
        <v>1149</v>
      </c>
      <c r="F228" s="34">
        <v>4</v>
      </c>
      <c r="G228" s="34" t="s">
        <v>1150</v>
      </c>
      <c r="H228" s="54">
        <v>45965</v>
      </c>
      <c r="I228" s="34" t="s">
        <v>1151</v>
      </c>
      <c r="J228" s="34" t="s">
        <v>1152</v>
      </c>
      <c r="K228" s="34" t="s">
        <v>1153</v>
      </c>
      <c r="L228" s="35" t="s">
        <v>24</v>
      </c>
      <c r="M228" s="5">
        <f>COUNTIF($B$1:$B$1475, B228)</f>
        <v>1</v>
      </c>
      <c r="N228" s="5">
        <f>COUNTIF($H$2:$H$1465, H228)</f>
        <v>16</v>
      </c>
    </row>
    <row r="229" spans="1:14">
      <c r="A229" s="30" t="s">
        <v>1154</v>
      </c>
      <c r="B229" s="31" t="s">
        <v>1155</v>
      </c>
      <c r="C229" s="31" t="s">
        <v>1156</v>
      </c>
      <c r="D229" s="31" t="s">
        <v>1157</v>
      </c>
      <c r="E229" s="31" t="s">
        <v>1157</v>
      </c>
      <c r="F229" s="31">
        <v>1</v>
      </c>
      <c r="G229" s="31" t="s">
        <v>1157</v>
      </c>
      <c r="H229" s="53">
        <v>45965</v>
      </c>
      <c r="I229" s="31" t="s">
        <v>1158</v>
      </c>
      <c r="J229" s="31" t="s">
        <v>1159</v>
      </c>
      <c r="K229" s="31" t="s">
        <v>1160</v>
      </c>
      <c r="L229" s="32" t="s">
        <v>24</v>
      </c>
      <c r="M229" s="5">
        <f>COUNTIF($B$1:$B$1475, B229)</f>
        <v>1</v>
      </c>
      <c r="N229" s="5">
        <f>COUNTIF($H$2:$H$1465, H229)</f>
        <v>16</v>
      </c>
    </row>
    <row r="230" spans="1:14">
      <c r="A230" s="33" t="s">
        <v>1161</v>
      </c>
      <c r="B230" s="34" t="s">
        <v>1128</v>
      </c>
      <c r="C230" s="34" t="s">
        <v>1129</v>
      </c>
      <c r="D230" s="34" t="s">
        <v>1162</v>
      </c>
      <c r="E230" s="34" t="s">
        <v>1162</v>
      </c>
      <c r="F230" s="34">
        <v>1</v>
      </c>
      <c r="G230" s="34" t="s">
        <v>1162</v>
      </c>
      <c r="H230" s="54">
        <v>45965</v>
      </c>
      <c r="I230" s="34" t="s">
        <v>1163</v>
      </c>
      <c r="J230" s="34" t="s">
        <v>1164</v>
      </c>
      <c r="K230" s="34" t="s">
        <v>1165</v>
      </c>
      <c r="L230" s="35" t="s">
        <v>24</v>
      </c>
      <c r="M230" s="5">
        <f>COUNTIF($B$1:$B$1475, B230)</f>
        <v>4</v>
      </c>
      <c r="N230" s="5">
        <f>COUNTIF($H$2:$H$1465, H230)</f>
        <v>16</v>
      </c>
    </row>
    <row r="231" spans="1:14">
      <c r="A231" s="30" t="s">
        <v>1166</v>
      </c>
      <c r="B231" s="31" t="s">
        <v>1128</v>
      </c>
      <c r="C231" s="31" t="s">
        <v>1129</v>
      </c>
      <c r="D231" s="31" t="s">
        <v>1162</v>
      </c>
      <c r="E231" s="31" t="s">
        <v>1162</v>
      </c>
      <c r="F231" s="31">
        <v>1</v>
      </c>
      <c r="G231" s="31" t="s">
        <v>1162</v>
      </c>
      <c r="H231" s="53">
        <v>45965</v>
      </c>
      <c r="I231" s="31" t="s">
        <v>1167</v>
      </c>
      <c r="J231" s="31" t="s">
        <v>1168</v>
      </c>
      <c r="K231" s="31" t="s">
        <v>1169</v>
      </c>
      <c r="L231" s="32" t="s">
        <v>24</v>
      </c>
      <c r="M231" s="5">
        <f>COUNTIF($B$1:$B$1475, B231)</f>
        <v>4</v>
      </c>
      <c r="N231" s="5">
        <f>COUNTIF($H$2:$H$1465, H231)</f>
        <v>16</v>
      </c>
    </row>
    <row r="232" spans="1:14">
      <c r="A232" s="33" t="s">
        <v>1170</v>
      </c>
      <c r="B232" s="34" t="s">
        <v>1171</v>
      </c>
      <c r="C232" s="34" t="s">
        <v>1172</v>
      </c>
      <c r="D232" s="34" t="s">
        <v>1142</v>
      </c>
      <c r="E232" s="34" t="s">
        <v>1142</v>
      </c>
      <c r="F232" s="34">
        <v>1</v>
      </c>
      <c r="G232" s="34" t="s">
        <v>1142</v>
      </c>
      <c r="H232" s="54">
        <v>45965</v>
      </c>
      <c r="I232" s="34" t="s">
        <v>1173</v>
      </c>
      <c r="J232" s="34" t="s">
        <v>1174</v>
      </c>
      <c r="K232" s="34" t="s">
        <v>1175</v>
      </c>
      <c r="L232" s="35" t="s">
        <v>24</v>
      </c>
      <c r="M232" s="5">
        <f>COUNTIF($B$1:$B$1475, B232)</f>
        <v>3</v>
      </c>
      <c r="N232" s="5">
        <f>COUNTIF($H$2:$H$1465, H232)</f>
        <v>16</v>
      </c>
    </row>
    <row r="233" spans="1:14">
      <c r="A233" s="30" t="s">
        <v>1176</v>
      </c>
      <c r="B233" s="31" t="s">
        <v>1177</v>
      </c>
      <c r="C233" s="31" t="s">
        <v>1178</v>
      </c>
      <c r="D233" s="31" t="s">
        <v>1179</v>
      </c>
      <c r="E233" s="31" t="s">
        <v>1157</v>
      </c>
      <c r="F233" s="31">
        <v>2</v>
      </c>
      <c r="G233" s="31" t="s">
        <v>1180</v>
      </c>
      <c r="H233" s="53">
        <v>45965</v>
      </c>
      <c r="I233" s="31" t="s">
        <v>1181</v>
      </c>
      <c r="J233" s="31" t="s">
        <v>1182</v>
      </c>
      <c r="K233" s="31" t="s">
        <v>1183</v>
      </c>
      <c r="L233" s="32" t="s">
        <v>24</v>
      </c>
      <c r="M233" s="5">
        <f>COUNTIF($B$1:$B$1475, B233)</f>
        <v>1</v>
      </c>
      <c r="N233" s="5">
        <f>COUNTIF($H$2:$H$1465, H233)</f>
        <v>16</v>
      </c>
    </row>
    <row r="234" spans="1:14">
      <c r="A234" s="33" t="s">
        <v>1184</v>
      </c>
      <c r="B234" s="34" t="s">
        <v>1171</v>
      </c>
      <c r="C234" s="34" t="s">
        <v>1185</v>
      </c>
      <c r="D234" s="34" t="s">
        <v>1149</v>
      </c>
      <c r="E234" s="34" t="s">
        <v>1149</v>
      </c>
      <c r="F234" s="34">
        <v>1</v>
      </c>
      <c r="G234" s="34" t="s">
        <v>1149</v>
      </c>
      <c r="H234" s="54">
        <v>45965</v>
      </c>
      <c r="I234" s="34" t="s">
        <v>1186</v>
      </c>
      <c r="J234" s="34" t="s">
        <v>1187</v>
      </c>
      <c r="K234" s="34" t="s">
        <v>1188</v>
      </c>
      <c r="L234" s="35" t="s">
        <v>24</v>
      </c>
      <c r="M234" s="5">
        <f>COUNTIF($B$1:$B$1475, B234)</f>
        <v>3</v>
      </c>
      <c r="N234" s="5">
        <f>COUNTIF($H$2:$H$1465, H234)</f>
        <v>16</v>
      </c>
    </row>
    <row r="235" spans="1:14">
      <c r="A235" s="30" t="s">
        <v>1189</v>
      </c>
      <c r="B235" s="31" t="s">
        <v>1190</v>
      </c>
      <c r="C235" s="31" t="s">
        <v>1191</v>
      </c>
      <c r="D235" s="31" t="s">
        <v>1192</v>
      </c>
      <c r="E235" s="31" t="s">
        <v>1162</v>
      </c>
      <c r="F235" s="31">
        <v>2</v>
      </c>
      <c r="G235" s="31" t="s">
        <v>1193</v>
      </c>
      <c r="H235" s="53">
        <v>45965</v>
      </c>
      <c r="I235" s="31" t="s">
        <v>1194</v>
      </c>
      <c r="J235" s="31" t="s">
        <v>1195</v>
      </c>
      <c r="K235" s="31" t="s">
        <v>1196</v>
      </c>
      <c r="L235" s="32" t="s">
        <v>24</v>
      </c>
      <c r="M235" s="5">
        <f>COUNTIF($B$1:$B$1475, B235)</f>
        <v>3</v>
      </c>
      <c r="N235" s="5">
        <f>COUNTIF($H$2:$H$1465, H235)</f>
        <v>16</v>
      </c>
    </row>
    <row r="236" spans="1:14">
      <c r="A236" s="33" t="s">
        <v>1197</v>
      </c>
      <c r="B236" s="34" t="s">
        <v>1198</v>
      </c>
      <c r="C236" s="34" t="s">
        <v>1199</v>
      </c>
      <c r="D236" s="34" t="s">
        <v>1179</v>
      </c>
      <c r="E236" s="34" t="s">
        <v>1200</v>
      </c>
      <c r="F236" s="34">
        <v>3</v>
      </c>
      <c r="G236" s="34" t="s">
        <v>1201</v>
      </c>
      <c r="H236" s="54">
        <v>45965</v>
      </c>
      <c r="I236" s="34" t="s">
        <v>1202</v>
      </c>
      <c r="J236" s="34" t="s">
        <v>1203</v>
      </c>
      <c r="K236" s="34" t="s">
        <v>1204</v>
      </c>
      <c r="L236" s="35" t="s">
        <v>24</v>
      </c>
      <c r="M236" s="5">
        <f>COUNTIF($B$1:$B$1475, B236)</f>
        <v>1</v>
      </c>
      <c r="N236" s="5">
        <f>COUNTIF($H$2:$H$1465, H236)</f>
        <v>16</v>
      </c>
    </row>
    <row r="237" spans="1:14">
      <c r="A237" s="30" t="s">
        <v>1205</v>
      </c>
      <c r="B237" s="31" t="s">
        <v>1206</v>
      </c>
      <c r="C237" s="31" t="s">
        <v>1207</v>
      </c>
      <c r="D237" s="31" t="s">
        <v>1142</v>
      </c>
      <c r="E237" s="31" t="s">
        <v>1142</v>
      </c>
      <c r="F237" s="31">
        <v>1</v>
      </c>
      <c r="G237" s="31" t="s">
        <v>1142</v>
      </c>
      <c r="H237" s="53">
        <v>45965</v>
      </c>
      <c r="I237" s="31" t="s">
        <v>1208</v>
      </c>
      <c r="J237" s="31" t="s">
        <v>1209</v>
      </c>
      <c r="K237" s="31" t="s">
        <v>1210</v>
      </c>
      <c r="L237" s="32" t="s">
        <v>24</v>
      </c>
      <c r="M237" s="5">
        <f>COUNTIF($B$1:$B$1475, B237)</f>
        <v>1</v>
      </c>
      <c r="N237" s="5">
        <f>COUNTIF($H$2:$H$1465, H237)</f>
        <v>16</v>
      </c>
    </row>
    <row r="238" spans="1:14">
      <c r="A238" s="33" t="s">
        <v>1211</v>
      </c>
      <c r="B238" s="34" t="s">
        <v>151</v>
      </c>
      <c r="C238" s="34" t="s">
        <v>152</v>
      </c>
      <c r="D238" s="34" t="s">
        <v>1212</v>
      </c>
      <c r="E238" s="34" t="s">
        <v>1212</v>
      </c>
      <c r="F238" s="34">
        <v>1</v>
      </c>
      <c r="G238" s="34" t="s">
        <v>1212</v>
      </c>
      <c r="H238" s="54">
        <v>45965</v>
      </c>
      <c r="I238" s="34" t="s">
        <v>1213</v>
      </c>
      <c r="J238" s="34" t="s">
        <v>1214</v>
      </c>
      <c r="K238" s="34" t="s">
        <v>1215</v>
      </c>
      <c r="L238" s="35" t="s">
        <v>24</v>
      </c>
      <c r="M238" s="5">
        <f>COUNTIF($B$1:$B$1475, B238)</f>
        <v>3</v>
      </c>
      <c r="N238" s="5">
        <f>COUNTIF($H$2:$H$1465, H238)</f>
        <v>16</v>
      </c>
    </row>
    <row r="239" spans="1:14">
      <c r="A239" s="30" t="s">
        <v>1216</v>
      </c>
      <c r="B239" s="31" t="s">
        <v>1171</v>
      </c>
      <c r="C239" s="31" t="s">
        <v>1185</v>
      </c>
      <c r="D239" s="31" t="s">
        <v>1157</v>
      </c>
      <c r="E239" s="31" t="s">
        <v>1217</v>
      </c>
      <c r="F239" s="31">
        <v>2</v>
      </c>
      <c r="G239" s="31" t="s">
        <v>1130</v>
      </c>
      <c r="H239" s="53">
        <v>45965</v>
      </c>
      <c r="I239" s="31" t="s">
        <v>1218</v>
      </c>
      <c r="J239" s="31" t="s">
        <v>1219</v>
      </c>
      <c r="K239" s="31" t="s">
        <v>1220</v>
      </c>
      <c r="L239" s="32" t="s">
        <v>24</v>
      </c>
      <c r="M239" s="5">
        <f>COUNTIF($B$1:$B$1475, B239)</f>
        <v>3</v>
      </c>
      <c r="N239" s="5">
        <f>COUNTIF($H$2:$H$1465, H239)</f>
        <v>16</v>
      </c>
    </row>
    <row r="240" spans="1:14">
      <c r="A240" s="33" t="s">
        <v>1221</v>
      </c>
      <c r="B240" s="34" t="s">
        <v>151</v>
      </c>
      <c r="C240" s="34" t="s">
        <v>152</v>
      </c>
      <c r="D240" s="34" t="s">
        <v>1130</v>
      </c>
      <c r="E240" s="34" t="s">
        <v>1135</v>
      </c>
      <c r="F240" s="34">
        <v>3</v>
      </c>
      <c r="G240" s="34" t="s">
        <v>1222</v>
      </c>
      <c r="H240" s="54">
        <v>45965</v>
      </c>
      <c r="I240" s="34" t="s">
        <v>1223</v>
      </c>
      <c r="J240" s="34" t="s">
        <v>1224</v>
      </c>
      <c r="K240" s="34" t="s">
        <v>1225</v>
      </c>
      <c r="L240" s="35" t="s">
        <v>24</v>
      </c>
      <c r="M240" s="5">
        <f>COUNTIF($B$1:$B$1475, B240)</f>
        <v>3</v>
      </c>
      <c r="N240" s="5">
        <f>COUNTIF($H$2:$H$1465, H240)</f>
        <v>16</v>
      </c>
    </row>
    <row r="241" spans="1:14">
      <c r="A241" s="30" t="s">
        <v>1226</v>
      </c>
      <c r="B241" s="31" t="s">
        <v>1227</v>
      </c>
      <c r="C241" s="31" t="s">
        <v>1228</v>
      </c>
      <c r="D241" s="31" t="s">
        <v>1229</v>
      </c>
      <c r="E241" s="31" t="s">
        <v>1229</v>
      </c>
      <c r="F241" s="31">
        <v>2</v>
      </c>
      <c r="G241" s="31" t="s">
        <v>1142</v>
      </c>
      <c r="H241" s="53">
        <v>45964</v>
      </c>
      <c r="I241" s="31" t="s">
        <v>1230</v>
      </c>
      <c r="J241" s="31" t="s">
        <v>1231</v>
      </c>
      <c r="K241" s="31" t="s">
        <v>1232</v>
      </c>
      <c r="L241" s="32" t="s">
        <v>24</v>
      </c>
      <c r="M241" s="5">
        <f>COUNTIF($B$1:$B$1475, B241)</f>
        <v>1</v>
      </c>
      <c r="N241" s="5">
        <f>COUNTIF($H$2:$H$1465, H241)</f>
        <v>23</v>
      </c>
    </row>
    <row r="242" spans="1:14">
      <c r="A242" s="33" t="s">
        <v>1233</v>
      </c>
      <c r="B242" s="34" t="s">
        <v>1234</v>
      </c>
      <c r="C242" s="34" t="s">
        <v>1235</v>
      </c>
      <c r="D242" s="34" t="s">
        <v>1236</v>
      </c>
      <c r="E242" s="34" t="s">
        <v>1237</v>
      </c>
      <c r="F242" s="34">
        <v>18</v>
      </c>
      <c r="G242" s="34" t="s">
        <v>1180</v>
      </c>
      <c r="H242" s="54">
        <v>45964</v>
      </c>
      <c r="I242" s="34" t="s">
        <v>1238</v>
      </c>
      <c r="J242" s="34" t="s">
        <v>1239</v>
      </c>
      <c r="K242" s="34" t="s">
        <v>1240</v>
      </c>
      <c r="L242" s="35" t="s">
        <v>24</v>
      </c>
      <c r="M242" s="5">
        <f>COUNTIF($B$1:$B$1475, B242)</f>
        <v>2</v>
      </c>
      <c r="N242" s="5">
        <f>COUNTIF($H$2:$H$1465, H242)</f>
        <v>23</v>
      </c>
    </row>
    <row r="243" spans="1:14">
      <c r="A243" s="30" t="s">
        <v>1241</v>
      </c>
      <c r="B243" s="31" t="s">
        <v>57</v>
      </c>
      <c r="C243" s="31" t="s">
        <v>58</v>
      </c>
      <c r="D243" s="31" t="s">
        <v>1135</v>
      </c>
      <c r="E243" s="31" t="s">
        <v>1242</v>
      </c>
      <c r="F243" s="31">
        <v>2</v>
      </c>
      <c r="G243" s="31" t="s">
        <v>1243</v>
      </c>
      <c r="H243" s="53">
        <v>45964</v>
      </c>
      <c r="I243" s="31" t="s">
        <v>1244</v>
      </c>
      <c r="J243" s="31" t="s">
        <v>1245</v>
      </c>
      <c r="K243" s="31" t="s">
        <v>1246</v>
      </c>
      <c r="L243" s="32" t="s">
        <v>24</v>
      </c>
      <c r="M243" s="5">
        <f>COUNTIF($B$1:$B$1475, B243)</f>
        <v>7</v>
      </c>
      <c r="N243" s="5">
        <f>COUNTIF($H$2:$H$1465, H243)</f>
        <v>23</v>
      </c>
    </row>
    <row r="244" spans="1:14">
      <c r="A244" s="33" t="s">
        <v>1247</v>
      </c>
      <c r="B244" s="34" t="s">
        <v>442</v>
      </c>
      <c r="C244" s="34" t="s">
        <v>443</v>
      </c>
      <c r="D244" s="34" t="s">
        <v>1192</v>
      </c>
      <c r="E244" s="34" t="s">
        <v>1192</v>
      </c>
      <c r="F244" s="34">
        <v>1</v>
      </c>
      <c r="G244" s="34" t="s">
        <v>1192</v>
      </c>
      <c r="H244" s="54">
        <v>45964</v>
      </c>
      <c r="I244" s="34" t="s">
        <v>1248</v>
      </c>
      <c r="J244" s="34" t="s">
        <v>1249</v>
      </c>
      <c r="K244" s="34" t="s">
        <v>1250</v>
      </c>
      <c r="L244" s="35" t="s">
        <v>24</v>
      </c>
      <c r="M244" s="5">
        <f>COUNTIF($B$1:$B$1475, B244)</f>
        <v>3</v>
      </c>
      <c r="N244" s="5">
        <f>COUNTIF($H$2:$H$1465, H244)</f>
        <v>23</v>
      </c>
    </row>
    <row r="245" spans="1:14">
      <c r="A245" s="30" t="s">
        <v>1251</v>
      </c>
      <c r="B245" s="31" t="s">
        <v>366</v>
      </c>
      <c r="C245" s="31" t="s">
        <v>366</v>
      </c>
      <c r="D245" s="31" t="s">
        <v>1252</v>
      </c>
      <c r="E245" s="31" t="s">
        <v>1252</v>
      </c>
      <c r="F245" s="31">
        <v>1</v>
      </c>
      <c r="G245" s="31" t="s">
        <v>1252</v>
      </c>
      <c r="H245" s="53">
        <v>45964</v>
      </c>
      <c r="I245" s="31" t="s">
        <v>1253</v>
      </c>
      <c r="J245" s="31" t="s">
        <v>1254</v>
      </c>
      <c r="K245" s="31" t="s">
        <v>1255</v>
      </c>
      <c r="L245" s="32" t="s">
        <v>24</v>
      </c>
      <c r="M245" s="5">
        <f>COUNTIF($B$1:$B$1475, B245)</f>
        <v>5</v>
      </c>
      <c r="N245" s="5">
        <f>COUNTIF($H$2:$H$1465, H245)</f>
        <v>23</v>
      </c>
    </row>
    <row r="246" spans="1:14">
      <c r="A246" s="33" t="s">
        <v>1256</v>
      </c>
      <c r="B246" s="34" t="s">
        <v>1257</v>
      </c>
      <c r="C246" s="34" t="s">
        <v>1258</v>
      </c>
      <c r="D246" s="34" t="s">
        <v>1192</v>
      </c>
      <c r="E246" s="34" t="s">
        <v>1192</v>
      </c>
      <c r="F246" s="34">
        <v>1</v>
      </c>
      <c r="G246" s="34" t="s">
        <v>1192</v>
      </c>
      <c r="H246" s="54">
        <v>45964</v>
      </c>
      <c r="I246" s="34" t="s">
        <v>1259</v>
      </c>
      <c r="J246" s="34" t="s">
        <v>1260</v>
      </c>
      <c r="K246" s="34" t="s">
        <v>1261</v>
      </c>
      <c r="L246" s="35" t="s">
        <v>24</v>
      </c>
      <c r="M246" s="5">
        <f>COUNTIF($B$1:$B$1475, B246)</f>
        <v>2</v>
      </c>
      <c r="N246" s="5">
        <f>COUNTIF($H$2:$H$1465, H246)</f>
        <v>23</v>
      </c>
    </row>
    <row r="247" spans="1:14">
      <c r="A247" s="30" t="s">
        <v>1262</v>
      </c>
      <c r="B247" s="31" t="s">
        <v>366</v>
      </c>
      <c r="C247" s="31" t="s">
        <v>366</v>
      </c>
      <c r="D247" s="31" t="s">
        <v>1252</v>
      </c>
      <c r="E247" s="31" t="s">
        <v>1252</v>
      </c>
      <c r="F247" s="31">
        <v>1</v>
      </c>
      <c r="G247" s="31" t="s">
        <v>1252</v>
      </c>
      <c r="H247" s="53">
        <v>45964</v>
      </c>
      <c r="I247" s="31" t="s">
        <v>1263</v>
      </c>
      <c r="J247" s="31" t="s">
        <v>1264</v>
      </c>
      <c r="K247" s="31" t="s">
        <v>1265</v>
      </c>
      <c r="L247" s="32" t="s">
        <v>24</v>
      </c>
      <c r="M247" s="5">
        <f>COUNTIF($B$1:$B$1475, B247)</f>
        <v>5</v>
      </c>
      <c r="N247" s="5">
        <f>COUNTIF($H$2:$H$1465, H247)</f>
        <v>23</v>
      </c>
    </row>
    <row r="248" spans="1:14">
      <c r="A248" s="33" t="s">
        <v>1266</v>
      </c>
      <c r="B248" s="34" t="s">
        <v>1267</v>
      </c>
      <c r="C248" s="34" t="s">
        <v>1268</v>
      </c>
      <c r="D248" s="34" t="s">
        <v>1269</v>
      </c>
      <c r="E248" s="34" t="s">
        <v>1142</v>
      </c>
      <c r="F248" s="34">
        <v>3</v>
      </c>
      <c r="G248" s="34" t="s">
        <v>1270</v>
      </c>
      <c r="H248" s="54">
        <v>45964</v>
      </c>
      <c r="I248" s="34" t="s">
        <v>1271</v>
      </c>
      <c r="J248" s="34" t="s">
        <v>1272</v>
      </c>
      <c r="K248" s="34" t="s">
        <v>1273</v>
      </c>
      <c r="L248" s="35" t="s">
        <v>24</v>
      </c>
      <c r="M248" s="5">
        <f>COUNTIF($B$1:$B$1475, B248)</f>
        <v>1</v>
      </c>
      <c r="N248" s="5">
        <f>COUNTIF($H$2:$H$1465, H248)</f>
        <v>23</v>
      </c>
    </row>
    <row r="249" spans="1:14">
      <c r="A249" s="30" t="s">
        <v>1274</v>
      </c>
      <c r="B249" s="31" t="s">
        <v>103</v>
      </c>
      <c r="C249" s="31" t="s">
        <v>104</v>
      </c>
      <c r="D249" s="31" t="s">
        <v>1252</v>
      </c>
      <c r="E249" s="31" t="s">
        <v>1252</v>
      </c>
      <c r="F249" s="31">
        <v>1</v>
      </c>
      <c r="G249" s="31" t="s">
        <v>1252</v>
      </c>
      <c r="H249" s="53">
        <v>45964</v>
      </c>
      <c r="I249" s="31" t="s">
        <v>1275</v>
      </c>
      <c r="J249" s="31" t="s">
        <v>1276</v>
      </c>
      <c r="K249" s="31" t="s">
        <v>1277</v>
      </c>
      <c r="L249" s="32" t="s">
        <v>24</v>
      </c>
      <c r="M249" s="5">
        <f>COUNTIF($B$1:$B$1475, B249)</f>
        <v>17</v>
      </c>
      <c r="N249" s="5">
        <f>COUNTIF($H$2:$H$1465, H249)</f>
        <v>23</v>
      </c>
    </row>
    <row r="250" spans="1:14">
      <c r="A250" s="33" t="s">
        <v>1278</v>
      </c>
      <c r="B250" s="34" t="s">
        <v>103</v>
      </c>
      <c r="C250" s="34" t="s">
        <v>104</v>
      </c>
      <c r="D250" s="34" t="s">
        <v>1252</v>
      </c>
      <c r="E250" s="34" t="s">
        <v>1252</v>
      </c>
      <c r="F250" s="34">
        <v>1</v>
      </c>
      <c r="G250" s="34" t="s">
        <v>1252</v>
      </c>
      <c r="H250" s="54">
        <v>45964</v>
      </c>
      <c r="I250" s="34" t="s">
        <v>1279</v>
      </c>
      <c r="J250" s="34" t="s">
        <v>1280</v>
      </c>
      <c r="K250" s="34" t="s">
        <v>1281</v>
      </c>
      <c r="L250" s="35" t="s">
        <v>24</v>
      </c>
      <c r="M250" s="5">
        <f>COUNTIF($B$1:$B$1475, B250)</f>
        <v>17</v>
      </c>
      <c r="N250" s="5">
        <f>COUNTIF($H$2:$H$1465, H250)</f>
        <v>23</v>
      </c>
    </row>
    <row r="251" spans="1:14">
      <c r="A251" s="30" t="s">
        <v>1282</v>
      </c>
      <c r="B251" s="31" t="s">
        <v>1283</v>
      </c>
      <c r="C251" s="31" t="s">
        <v>1284</v>
      </c>
      <c r="D251" s="31" t="s">
        <v>1252</v>
      </c>
      <c r="E251" s="31" t="s">
        <v>1285</v>
      </c>
      <c r="F251" s="31">
        <v>16</v>
      </c>
      <c r="G251" s="31" t="s">
        <v>1286</v>
      </c>
      <c r="H251" s="53">
        <v>45964</v>
      </c>
      <c r="I251" s="31" t="s">
        <v>1287</v>
      </c>
      <c r="J251" s="31" t="s">
        <v>1288</v>
      </c>
      <c r="K251" s="31" t="s">
        <v>1289</v>
      </c>
      <c r="L251" s="32" t="s">
        <v>24</v>
      </c>
      <c r="M251" s="5">
        <f>COUNTIF($B$1:$B$1475, B251)</f>
        <v>1</v>
      </c>
      <c r="N251" s="5">
        <f>COUNTIF($H$2:$H$1465, H251)</f>
        <v>23</v>
      </c>
    </row>
    <row r="252" spans="1:14">
      <c r="A252" s="33" t="s">
        <v>1290</v>
      </c>
      <c r="B252" s="34" t="s">
        <v>1291</v>
      </c>
      <c r="C252" s="34" t="s">
        <v>1292</v>
      </c>
      <c r="D252" s="34" t="s">
        <v>1200</v>
      </c>
      <c r="E252" s="34" t="s">
        <v>1293</v>
      </c>
      <c r="F252" s="34">
        <v>22</v>
      </c>
      <c r="G252" s="34" t="s">
        <v>1294</v>
      </c>
      <c r="H252" s="54">
        <v>45964</v>
      </c>
      <c r="I252" s="34" t="s">
        <v>1295</v>
      </c>
      <c r="J252" s="34" t="s">
        <v>1296</v>
      </c>
      <c r="K252" s="34" t="s">
        <v>1297</v>
      </c>
      <c r="L252" s="35" t="s">
        <v>24</v>
      </c>
      <c r="M252" s="5">
        <f>COUNTIF($B$1:$B$1475, B252)</f>
        <v>1</v>
      </c>
      <c r="N252" s="5">
        <f>COUNTIF($H$2:$H$1465, H252)</f>
        <v>23</v>
      </c>
    </row>
    <row r="253" spans="1:14">
      <c r="A253" s="30" t="s">
        <v>1298</v>
      </c>
      <c r="B253" s="31" t="s">
        <v>1299</v>
      </c>
      <c r="C253" s="31" t="s">
        <v>1300</v>
      </c>
      <c r="D253" s="31" t="s">
        <v>1200</v>
      </c>
      <c r="E253" s="31" t="s">
        <v>1301</v>
      </c>
      <c r="F253" s="31">
        <v>10</v>
      </c>
      <c r="G253" s="31" t="s">
        <v>1179</v>
      </c>
      <c r="H253" s="53">
        <v>45964</v>
      </c>
      <c r="I253" s="31" t="s">
        <v>1302</v>
      </c>
      <c r="J253" s="31" t="s">
        <v>1303</v>
      </c>
      <c r="K253" s="31" t="s">
        <v>1304</v>
      </c>
      <c r="L253" s="32" t="s">
        <v>24</v>
      </c>
      <c r="M253" s="5">
        <f>COUNTIF($B$1:$B$1475, B253)</f>
        <v>1</v>
      </c>
      <c r="N253" s="5">
        <f>COUNTIF($H$2:$H$1465, H253)</f>
        <v>23</v>
      </c>
    </row>
    <row r="254" spans="1:14">
      <c r="A254" s="33" t="s">
        <v>1305</v>
      </c>
      <c r="B254" s="34" t="s">
        <v>1029</v>
      </c>
      <c r="C254" s="34" t="s">
        <v>1029</v>
      </c>
      <c r="D254" s="34" t="s">
        <v>1306</v>
      </c>
      <c r="E254" s="34" t="s">
        <v>1306</v>
      </c>
      <c r="F254" s="34">
        <v>2</v>
      </c>
      <c r="G254" s="34" t="s">
        <v>1307</v>
      </c>
      <c r="H254" s="54">
        <v>45964</v>
      </c>
      <c r="I254" s="34" t="s">
        <v>1308</v>
      </c>
      <c r="J254" s="34" t="s">
        <v>1309</v>
      </c>
      <c r="K254" s="34" t="s">
        <v>1310</v>
      </c>
      <c r="L254" s="35" t="s">
        <v>24</v>
      </c>
      <c r="M254" s="5">
        <f>COUNTIF($B$1:$B$1475, B254)</f>
        <v>8</v>
      </c>
      <c r="N254" s="5">
        <f>COUNTIF($H$2:$H$1465, H254)</f>
        <v>23</v>
      </c>
    </row>
    <row r="255" spans="1:14">
      <c r="A255" s="30" t="s">
        <v>1311</v>
      </c>
      <c r="B255" s="31" t="s">
        <v>1312</v>
      </c>
      <c r="C255" s="31" t="s">
        <v>1313</v>
      </c>
      <c r="D255" s="31" t="s">
        <v>1135</v>
      </c>
      <c r="E255" s="31" t="s">
        <v>1306</v>
      </c>
      <c r="F255" s="31">
        <v>3</v>
      </c>
      <c r="G255" s="31" t="s">
        <v>1314</v>
      </c>
      <c r="H255" s="53">
        <v>45964</v>
      </c>
      <c r="I255" s="31" t="s">
        <v>1315</v>
      </c>
      <c r="J255" s="31" t="s">
        <v>1316</v>
      </c>
      <c r="K255" s="31" t="s">
        <v>1317</v>
      </c>
      <c r="L255" s="32" t="s">
        <v>24</v>
      </c>
      <c r="M255" s="5">
        <f>COUNTIF($B$1:$B$1475, B255)</f>
        <v>1</v>
      </c>
      <c r="N255" s="5">
        <f>COUNTIF($H$2:$H$1465, H255)</f>
        <v>23</v>
      </c>
    </row>
    <row r="256" spans="1:14">
      <c r="A256" s="33" t="s">
        <v>1318</v>
      </c>
      <c r="B256" s="34" t="s">
        <v>1319</v>
      </c>
      <c r="C256" s="34" t="s">
        <v>1320</v>
      </c>
      <c r="D256" s="34" t="s">
        <v>1321</v>
      </c>
      <c r="E256" s="34" t="s">
        <v>1322</v>
      </c>
      <c r="F256" s="34">
        <v>8</v>
      </c>
      <c r="G256" s="34" t="s">
        <v>1323</v>
      </c>
      <c r="H256" s="54">
        <v>45964</v>
      </c>
      <c r="I256" s="34" t="s">
        <v>1324</v>
      </c>
      <c r="J256" s="34" t="s">
        <v>1325</v>
      </c>
      <c r="K256" s="34" t="s">
        <v>1326</v>
      </c>
      <c r="L256" s="35" t="s">
        <v>24</v>
      </c>
      <c r="M256" s="5">
        <f>COUNTIF($B$1:$B$1475, B256)</f>
        <v>1</v>
      </c>
      <c r="N256" s="5">
        <f>COUNTIF($H$2:$H$1465, H256)</f>
        <v>23</v>
      </c>
    </row>
    <row r="257" spans="1:14">
      <c r="A257" s="30" t="s">
        <v>1327</v>
      </c>
      <c r="B257" s="31" t="s">
        <v>1328</v>
      </c>
      <c r="C257" s="31" t="s">
        <v>1329</v>
      </c>
      <c r="D257" s="31" t="s">
        <v>1130</v>
      </c>
      <c r="E257" s="31" t="s">
        <v>1130</v>
      </c>
      <c r="F257" s="31">
        <v>1</v>
      </c>
      <c r="G257" s="31" t="s">
        <v>1130</v>
      </c>
      <c r="H257" s="53">
        <v>45964</v>
      </c>
      <c r="I257" s="31" t="s">
        <v>1330</v>
      </c>
      <c r="J257" s="31" t="s">
        <v>1331</v>
      </c>
      <c r="K257" s="31" t="s">
        <v>1332</v>
      </c>
      <c r="L257" s="32" t="s">
        <v>24</v>
      </c>
      <c r="M257" s="5">
        <f>COUNTIF($B$1:$B$1475, B257)</f>
        <v>2</v>
      </c>
      <c r="N257" s="5">
        <f>COUNTIF($H$2:$H$1465, H257)</f>
        <v>23</v>
      </c>
    </row>
    <row r="258" spans="1:14">
      <c r="A258" s="33" t="s">
        <v>1333</v>
      </c>
      <c r="B258" s="34" t="s">
        <v>90</v>
      </c>
      <c r="C258" s="34" t="s">
        <v>91</v>
      </c>
      <c r="D258" s="34" t="s">
        <v>1130</v>
      </c>
      <c r="E258" s="34" t="s">
        <v>1334</v>
      </c>
      <c r="F258" s="34">
        <v>30</v>
      </c>
      <c r="G258" s="34" t="s">
        <v>1335</v>
      </c>
      <c r="H258" s="54">
        <v>45964</v>
      </c>
      <c r="I258" s="34" t="s">
        <v>1336</v>
      </c>
      <c r="J258" s="34" t="s">
        <v>1337</v>
      </c>
      <c r="K258" s="34" t="s">
        <v>1338</v>
      </c>
      <c r="L258" s="35" t="s">
        <v>24</v>
      </c>
      <c r="M258" s="5">
        <f>COUNTIF($B$1:$B$1475, B258)</f>
        <v>10</v>
      </c>
      <c r="N258" s="5">
        <f>COUNTIF($H$2:$H$1465, H258)</f>
        <v>23</v>
      </c>
    </row>
    <row r="259" spans="1:14">
      <c r="A259" s="30" t="s">
        <v>1339</v>
      </c>
      <c r="B259" s="31" t="s">
        <v>1340</v>
      </c>
      <c r="C259" s="31" t="s">
        <v>1341</v>
      </c>
      <c r="D259" s="31" t="s">
        <v>1157</v>
      </c>
      <c r="E259" s="31" t="s">
        <v>1157</v>
      </c>
      <c r="F259" s="31">
        <v>1</v>
      </c>
      <c r="G259" s="31" t="s">
        <v>1157</v>
      </c>
      <c r="H259" s="53">
        <v>45964</v>
      </c>
      <c r="I259" s="31" t="s">
        <v>1342</v>
      </c>
      <c r="J259" s="31" t="s">
        <v>1343</v>
      </c>
      <c r="K259" s="31" t="s">
        <v>1344</v>
      </c>
      <c r="L259" s="32" t="s">
        <v>24</v>
      </c>
      <c r="M259" s="5">
        <f>COUNTIF($B$1:$B$1475, B259)</f>
        <v>1</v>
      </c>
      <c r="N259" s="5">
        <f>COUNTIF($H$2:$H$1465, H259)</f>
        <v>23</v>
      </c>
    </row>
    <row r="260" spans="1:14">
      <c r="A260" s="33" t="s">
        <v>1345</v>
      </c>
      <c r="B260" s="34" t="s">
        <v>1346</v>
      </c>
      <c r="C260" s="34" t="s">
        <v>1347</v>
      </c>
      <c r="D260" s="34" t="s">
        <v>1157</v>
      </c>
      <c r="E260" s="34" t="s">
        <v>1157</v>
      </c>
      <c r="F260" s="34">
        <v>1</v>
      </c>
      <c r="G260" s="34" t="s">
        <v>1157</v>
      </c>
      <c r="H260" s="54">
        <v>45964</v>
      </c>
      <c r="I260" s="34" t="s">
        <v>1348</v>
      </c>
      <c r="J260" s="34" t="s">
        <v>1349</v>
      </c>
      <c r="K260" s="34" t="s">
        <v>1350</v>
      </c>
      <c r="L260" s="35" t="s">
        <v>24</v>
      </c>
      <c r="M260" s="5">
        <f>COUNTIF($B$1:$B$1475, B260)</f>
        <v>3</v>
      </c>
      <c r="N260" s="5">
        <f>COUNTIF($H$2:$H$1465, H260)</f>
        <v>23</v>
      </c>
    </row>
    <row r="261" spans="1:14">
      <c r="A261" s="38" t="s">
        <v>1351</v>
      </c>
      <c r="B261" s="38" t="s">
        <v>1352</v>
      </c>
      <c r="C261" s="38" t="s">
        <v>1353</v>
      </c>
      <c r="D261" s="38" t="s">
        <v>1354</v>
      </c>
      <c r="E261" s="38" t="s">
        <v>1355</v>
      </c>
      <c r="F261" s="38">
        <v>9</v>
      </c>
      <c r="G261" s="38" t="s">
        <v>1356</v>
      </c>
      <c r="H261" s="56">
        <v>45964</v>
      </c>
      <c r="I261" s="38" t="s">
        <v>1357</v>
      </c>
      <c r="J261" s="38" t="s">
        <v>1358</v>
      </c>
      <c r="K261" s="38" t="s">
        <v>1359</v>
      </c>
      <c r="L261" s="38" t="s">
        <v>24</v>
      </c>
      <c r="M261" s="5">
        <f>COUNTIF($B$1:$B$1475, B261)</f>
        <v>2</v>
      </c>
      <c r="N261" s="5">
        <f>COUNTIF($H$2:$H$1465, H261)</f>
        <v>23</v>
      </c>
    </row>
    <row r="262" spans="1:14">
      <c r="A262" s="39" t="s">
        <v>1360</v>
      </c>
      <c r="B262" s="39" t="s">
        <v>504</v>
      </c>
      <c r="C262" s="39" t="s">
        <v>505</v>
      </c>
      <c r="D262" s="39" t="s">
        <v>1361</v>
      </c>
      <c r="E262" s="39" t="s">
        <v>1362</v>
      </c>
      <c r="F262" s="39">
        <v>4</v>
      </c>
      <c r="G262" s="39" t="s">
        <v>1363</v>
      </c>
      <c r="H262" s="57">
        <v>45964</v>
      </c>
      <c r="I262" s="39" t="s">
        <v>1364</v>
      </c>
      <c r="J262" s="39" t="s">
        <v>1365</v>
      </c>
      <c r="K262" s="39" t="s">
        <v>1366</v>
      </c>
      <c r="L262" s="39" t="s">
        <v>24</v>
      </c>
      <c r="M262" s="5">
        <f>COUNTIF($B$1:$B$1475, B262)</f>
        <v>3</v>
      </c>
      <c r="N262" s="5">
        <f>COUNTIF($H$2:$H$1465, H262)</f>
        <v>23</v>
      </c>
    </row>
    <row r="263" spans="1:14">
      <c r="A263" s="38" t="s">
        <v>1367</v>
      </c>
      <c r="B263" s="38" t="s">
        <v>1368</v>
      </c>
      <c r="C263" s="38" t="s">
        <v>1369</v>
      </c>
      <c r="D263" s="38" t="s">
        <v>1370</v>
      </c>
      <c r="E263" s="38" t="s">
        <v>1370</v>
      </c>
      <c r="F263" s="38">
        <v>1</v>
      </c>
      <c r="G263" s="38" t="s">
        <v>1370</v>
      </c>
      <c r="H263" s="56">
        <v>45964</v>
      </c>
      <c r="I263" s="38" t="s">
        <v>1371</v>
      </c>
      <c r="J263" s="38" t="s">
        <v>1372</v>
      </c>
      <c r="K263" s="38" t="s">
        <v>1373</v>
      </c>
      <c r="L263" s="38" t="s">
        <v>24</v>
      </c>
      <c r="M263" s="5">
        <f>COUNTIF($B$1:$B$1475, B263)</f>
        <v>1</v>
      </c>
      <c r="N263" s="5">
        <f>COUNTIF($H$2:$H$1465, H263)</f>
        <v>23</v>
      </c>
    </row>
    <row r="264" spans="1:14">
      <c r="A264" s="39" t="s">
        <v>1374</v>
      </c>
      <c r="B264" s="39" t="s">
        <v>1352</v>
      </c>
      <c r="C264" s="39" t="s">
        <v>1353</v>
      </c>
      <c r="D264" s="39" t="s">
        <v>1354</v>
      </c>
      <c r="E264" s="39" t="s">
        <v>1355</v>
      </c>
      <c r="F264" s="39">
        <v>5</v>
      </c>
      <c r="G264" s="39" t="s">
        <v>1375</v>
      </c>
      <c r="H264" s="57">
        <v>45963</v>
      </c>
      <c r="I264" s="39" t="s">
        <v>1376</v>
      </c>
      <c r="J264" s="39" t="s">
        <v>1377</v>
      </c>
      <c r="K264" s="39" t="s">
        <v>1378</v>
      </c>
      <c r="L264" s="39" t="s">
        <v>301</v>
      </c>
      <c r="M264" s="5">
        <f>COUNTIF($B$1:$B$1475, B264)</f>
        <v>2</v>
      </c>
      <c r="N264" s="5">
        <f>COUNTIF($H$2:$H$1465, H264)</f>
        <v>2</v>
      </c>
    </row>
    <row r="265" spans="1:14">
      <c r="A265" s="38" t="s">
        <v>1379</v>
      </c>
      <c r="B265" s="38" t="s">
        <v>90</v>
      </c>
      <c r="C265" s="38" t="s">
        <v>91</v>
      </c>
      <c r="D265" s="38" t="s">
        <v>1380</v>
      </c>
      <c r="E265" s="38" t="s">
        <v>1381</v>
      </c>
      <c r="F265" s="38">
        <v>2</v>
      </c>
      <c r="G265" s="38" t="s">
        <v>1382</v>
      </c>
      <c r="H265" s="56">
        <v>45963</v>
      </c>
      <c r="I265" s="38" t="s">
        <v>1383</v>
      </c>
      <c r="J265" s="38" t="s">
        <v>1384</v>
      </c>
      <c r="K265" s="38" t="s">
        <v>1385</v>
      </c>
      <c r="L265" s="38" t="s">
        <v>24</v>
      </c>
      <c r="M265" s="5">
        <f>COUNTIF($B$1:$B$1475, B265)</f>
        <v>10</v>
      </c>
      <c r="N265" s="5">
        <f>COUNTIF($H$2:$H$1465, H265)</f>
        <v>2</v>
      </c>
    </row>
    <row r="266" spans="1:14">
      <c r="A266" s="39" t="s">
        <v>1386</v>
      </c>
      <c r="B266" s="39" t="s">
        <v>1387</v>
      </c>
      <c r="C266" s="39" t="s">
        <v>1387</v>
      </c>
      <c r="D266" s="39" t="s">
        <v>1388</v>
      </c>
      <c r="E266" s="39" t="s">
        <v>1389</v>
      </c>
      <c r="F266" s="39">
        <v>2</v>
      </c>
      <c r="G266" s="39" t="s">
        <v>1390</v>
      </c>
      <c r="H266" s="57">
        <v>45962</v>
      </c>
      <c r="I266" s="39" t="s">
        <v>1391</v>
      </c>
      <c r="J266" s="39" t="s">
        <v>1392</v>
      </c>
      <c r="K266" s="39" t="s">
        <v>1393</v>
      </c>
      <c r="L266" s="39" t="s">
        <v>24</v>
      </c>
      <c r="M266" s="5">
        <f>COUNTIF($B$1:$B$1475, B266)</f>
        <v>10</v>
      </c>
      <c r="N266" s="5">
        <f>COUNTIF($H$2:$H$1465, H266)</f>
        <v>12</v>
      </c>
    </row>
    <row r="267" spans="1:14">
      <c r="A267" s="38" t="s">
        <v>1394</v>
      </c>
      <c r="B267" s="38" t="s">
        <v>1387</v>
      </c>
      <c r="C267" s="38" t="s">
        <v>1387</v>
      </c>
      <c r="D267" s="38" t="s">
        <v>1388</v>
      </c>
      <c r="E267" s="38" t="s">
        <v>1389</v>
      </c>
      <c r="F267" s="38">
        <v>2</v>
      </c>
      <c r="G267" s="38" t="s">
        <v>1390</v>
      </c>
      <c r="H267" s="56">
        <v>45962</v>
      </c>
      <c r="I267" s="38" t="s">
        <v>1395</v>
      </c>
      <c r="J267" s="38" t="s">
        <v>1396</v>
      </c>
      <c r="K267" s="38" t="s">
        <v>1397</v>
      </c>
      <c r="L267" s="38" t="s">
        <v>24</v>
      </c>
      <c r="M267" s="5">
        <f>COUNTIF($B$1:$B$1475, B267)</f>
        <v>10</v>
      </c>
      <c r="N267" s="5">
        <f>COUNTIF($H$2:$H$1465, H267)</f>
        <v>12</v>
      </c>
    </row>
    <row r="268" spans="1:14">
      <c r="A268" s="39" t="s">
        <v>1398</v>
      </c>
      <c r="B268" s="39" t="s">
        <v>1387</v>
      </c>
      <c r="C268" s="39" t="s">
        <v>1387</v>
      </c>
      <c r="D268" s="39" t="s">
        <v>1388</v>
      </c>
      <c r="E268" s="39" t="s">
        <v>1389</v>
      </c>
      <c r="F268" s="39">
        <v>2</v>
      </c>
      <c r="G268" s="39" t="s">
        <v>1390</v>
      </c>
      <c r="H268" s="57">
        <v>45962</v>
      </c>
      <c r="I268" s="39" t="s">
        <v>1399</v>
      </c>
      <c r="J268" s="39" t="s">
        <v>1400</v>
      </c>
      <c r="K268" s="39" t="s">
        <v>1401</v>
      </c>
      <c r="L268" s="39" t="s">
        <v>24</v>
      </c>
      <c r="M268" s="5">
        <f>COUNTIF($B$1:$B$1475, B268)</f>
        <v>10</v>
      </c>
      <c r="N268" s="5">
        <f>COUNTIF($H$2:$H$1465, H268)</f>
        <v>12</v>
      </c>
    </row>
    <row r="269" spans="1:14">
      <c r="A269" s="38" t="s">
        <v>1402</v>
      </c>
      <c r="B269" s="38" t="s">
        <v>1403</v>
      </c>
      <c r="C269" s="38" t="s">
        <v>1403</v>
      </c>
      <c r="D269" s="38" t="s">
        <v>1404</v>
      </c>
      <c r="E269" s="38" t="s">
        <v>1405</v>
      </c>
      <c r="F269" s="38">
        <v>3</v>
      </c>
      <c r="G269" s="38" t="s">
        <v>1406</v>
      </c>
      <c r="H269" s="56">
        <v>45962</v>
      </c>
      <c r="I269" s="38" t="s">
        <v>1407</v>
      </c>
      <c r="J269" s="38" t="s">
        <v>1408</v>
      </c>
      <c r="K269" s="38" t="s">
        <v>1409</v>
      </c>
      <c r="L269" s="38" t="s">
        <v>301</v>
      </c>
      <c r="M269" s="5">
        <f>COUNTIF($B$1:$B$1475, B269)</f>
        <v>2</v>
      </c>
      <c r="N269" s="5">
        <f>COUNTIF($H$2:$H$1465, H269)</f>
        <v>12</v>
      </c>
    </row>
    <row r="270" spans="1:14">
      <c r="A270" s="39" t="s">
        <v>1410</v>
      </c>
      <c r="B270" s="39" t="s">
        <v>1387</v>
      </c>
      <c r="C270" s="39" t="s">
        <v>1387</v>
      </c>
      <c r="D270" s="39" t="s">
        <v>1388</v>
      </c>
      <c r="E270" s="39" t="s">
        <v>1389</v>
      </c>
      <c r="F270" s="39">
        <v>2</v>
      </c>
      <c r="G270" s="39" t="s">
        <v>1390</v>
      </c>
      <c r="H270" s="57">
        <v>45962</v>
      </c>
      <c r="I270" s="39" t="s">
        <v>1411</v>
      </c>
      <c r="J270" s="39" t="s">
        <v>1412</v>
      </c>
      <c r="K270" s="39" t="s">
        <v>1413</v>
      </c>
      <c r="L270" s="39" t="s">
        <v>24</v>
      </c>
      <c r="M270" s="5">
        <f>COUNTIF($B$1:$B$1475, B270)</f>
        <v>10</v>
      </c>
      <c r="N270" s="5">
        <f>COUNTIF($H$2:$H$1465, H270)</f>
        <v>12</v>
      </c>
    </row>
    <row r="271" spans="1:14">
      <c r="A271" s="38" t="s">
        <v>1414</v>
      </c>
      <c r="B271" s="38" t="s">
        <v>1387</v>
      </c>
      <c r="C271" s="38" t="s">
        <v>1387</v>
      </c>
      <c r="D271" s="38" t="s">
        <v>1388</v>
      </c>
      <c r="E271" s="38" t="s">
        <v>1389</v>
      </c>
      <c r="F271" s="38">
        <v>2</v>
      </c>
      <c r="G271" s="38" t="s">
        <v>1390</v>
      </c>
      <c r="H271" s="56">
        <v>45962</v>
      </c>
      <c r="I271" s="38" t="s">
        <v>1415</v>
      </c>
      <c r="J271" s="38" t="s">
        <v>1416</v>
      </c>
      <c r="K271" s="38" t="s">
        <v>1417</v>
      </c>
      <c r="L271" s="38" t="s">
        <v>24</v>
      </c>
      <c r="M271" s="5">
        <f>COUNTIF($B$1:$B$1475, B271)</f>
        <v>10</v>
      </c>
      <c r="N271" s="5">
        <f>COUNTIF($H$2:$H$1465, H271)</f>
        <v>12</v>
      </c>
    </row>
    <row r="272" spans="1:14">
      <c r="A272" s="39" t="s">
        <v>1418</v>
      </c>
      <c r="B272" s="39" t="s">
        <v>1387</v>
      </c>
      <c r="C272" s="39" t="s">
        <v>1387</v>
      </c>
      <c r="D272" s="39" t="s">
        <v>1388</v>
      </c>
      <c r="E272" s="39" t="s">
        <v>1389</v>
      </c>
      <c r="F272" s="39">
        <v>2</v>
      </c>
      <c r="G272" s="39" t="s">
        <v>1390</v>
      </c>
      <c r="H272" s="57">
        <v>45962</v>
      </c>
      <c r="I272" s="39" t="s">
        <v>1419</v>
      </c>
      <c r="J272" s="39" t="s">
        <v>1420</v>
      </c>
      <c r="K272" s="39" t="s">
        <v>1421</v>
      </c>
      <c r="L272" s="39" t="s">
        <v>24</v>
      </c>
      <c r="M272" s="5">
        <f>COUNTIF($B$1:$B$1475, B272)</f>
        <v>10</v>
      </c>
      <c r="N272" s="5">
        <f>COUNTIF($H$2:$H$1465, H272)</f>
        <v>12</v>
      </c>
    </row>
    <row r="273" spans="1:14">
      <c r="A273" s="38" t="s">
        <v>1422</v>
      </c>
      <c r="B273" s="38" t="s">
        <v>1387</v>
      </c>
      <c r="C273" s="38" t="s">
        <v>1387</v>
      </c>
      <c r="D273" s="38" t="s">
        <v>1388</v>
      </c>
      <c r="E273" s="38" t="s">
        <v>1389</v>
      </c>
      <c r="F273" s="38">
        <v>2</v>
      </c>
      <c r="G273" s="38" t="s">
        <v>1390</v>
      </c>
      <c r="H273" s="56">
        <v>45962</v>
      </c>
      <c r="I273" s="38" t="s">
        <v>1423</v>
      </c>
      <c r="J273" s="38" t="s">
        <v>1424</v>
      </c>
      <c r="K273" s="38" t="s">
        <v>1425</v>
      </c>
      <c r="L273" s="38" t="s">
        <v>24</v>
      </c>
      <c r="M273" s="5">
        <f>COUNTIF($B$1:$B$1475, B273)</f>
        <v>10</v>
      </c>
      <c r="N273" s="5">
        <f>COUNTIF($H$2:$H$1465, H273)</f>
        <v>12</v>
      </c>
    </row>
    <row r="274" spans="1:14">
      <c r="A274" s="39" t="s">
        <v>1426</v>
      </c>
      <c r="B274" s="39" t="s">
        <v>1387</v>
      </c>
      <c r="C274" s="39" t="s">
        <v>1387</v>
      </c>
      <c r="D274" s="39" t="s">
        <v>1388</v>
      </c>
      <c r="E274" s="39" t="s">
        <v>1389</v>
      </c>
      <c r="F274" s="39">
        <v>2</v>
      </c>
      <c r="G274" s="39" t="s">
        <v>1390</v>
      </c>
      <c r="H274" s="57">
        <v>45962</v>
      </c>
      <c r="I274" s="39" t="s">
        <v>1427</v>
      </c>
      <c r="J274" s="39" t="s">
        <v>1428</v>
      </c>
      <c r="K274" s="39" t="s">
        <v>1429</v>
      </c>
      <c r="L274" s="39" t="s">
        <v>24</v>
      </c>
      <c r="M274" s="5">
        <f>COUNTIF($B$1:$B$1475, B274)</f>
        <v>10</v>
      </c>
      <c r="N274" s="5">
        <f>COUNTIF($H$2:$H$1465, H274)</f>
        <v>12</v>
      </c>
    </row>
    <row r="275" spans="1:14">
      <c r="A275" s="38" t="s">
        <v>1430</v>
      </c>
      <c r="B275" s="38" t="s">
        <v>1387</v>
      </c>
      <c r="C275" s="38" t="s">
        <v>1387</v>
      </c>
      <c r="D275" s="38" t="s">
        <v>1388</v>
      </c>
      <c r="E275" s="38" t="s">
        <v>1389</v>
      </c>
      <c r="F275" s="38">
        <v>2</v>
      </c>
      <c r="G275" s="38" t="s">
        <v>1390</v>
      </c>
      <c r="H275" s="56">
        <v>45962</v>
      </c>
      <c r="I275" s="38" t="s">
        <v>1431</v>
      </c>
      <c r="J275" s="38" t="s">
        <v>1432</v>
      </c>
      <c r="K275" s="38" t="s">
        <v>1433</v>
      </c>
      <c r="L275" s="38" t="s">
        <v>24</v>
      </c>
      <c r="M275" s="5">
        <f>COUNTIF($B$1:$B$1475, B275)</f>
        <v>10</v>
      </c>
      <c r="N275" s="5">
        <f>COUNTIF($H$2:$H$1465, H275)</f>
        <v>12</v>
      </c>
    </row>
    <row r="276" spans="1:14">
      <c r="A276" s="39" t="s">
        <v>1434</v>
      </c>
      <c r="B276" s="39" t="s">
        <v>1403</v>
      </c>
      <c r="C276" s="39" t="s">
        <v>1403</v>
      </c>
      <c r="D276" s="39" t="s">
        <v>1435</v>
      </c>
      <c r="E276" s="39" t="s">
        <v>1405</v>
      </c>
      <c r="F276" s="39">
        <v>90</v>
      </c>
      <c r="G276" s="39" t="s">
        <v>1436</v>
      </c>
      <c r="H276" s="57">
        <v>45962</v>
      </c>
      <c r="I276" s="39" t="s">
        <v>1437</v>
      </c>
      <c r="J276" s="39" t="s">
        <v>1438</v>
      </c>
      <c r="K276" s="39" t="s">
        <v>1439</v>
      </c>
      <c r="L276" s="39" t="s">
        <v>24</v>
      </c>
      <c r="M276" s="5">
        <f>COUNTIF($B$1:$B$1475, B276)</f>
        <v>2</v>
      </c>
      <c r="N276" s="5">
        <f>COUNTIF($H$2:$H$1465, H276)</f>
        <v>12</v>
      </c>
    </row>
    <row r="277" spans="1:14">
      <c r="A277" s="38" t="s">
        <v>1440</v>
      </c>
      <c r="B277" s="38" t="s">
        <v>1387</v>
      </c>
      <c r="C277" s="38" t="s">
        <v>1387</v>
      </c>
      <c r="D277" s="38" t="s">
        <v>1388</v>
      </c>
      <c r="E277" s="38" t="s">
        <v>1389</v>
      </c>
      <c r="F277" s="38">
        <v>2</v>
      </c>
      <c r="G277" s="38" t="s">
        <v>1390</v>
      </c>
      <c r="H277" s="56">
        <v>45962</v>
      </c>
      <c r="I277" s="38" t="s">
        <v>1441</v>
      </c>
      <c r="J277" s="38" t="s">
        <v>1442</v>
      </c>
      <c r="K277" s="38" t="s">
        <v>1443</v>
      </c>
      <c r="L277" s="38" t="s">
        <v>24</v>
      </c>
      <c r="M277" s="5">
        <f>COUNTIF($B$1:$B$1475, B277)</f>
        <v>10</v>
      </c>
      <c r="N277" s="5">
        <f>COUNTIF($H$2:$H$1465, H277)</f>
        <v>12</v>
      </c>
    </row>
    <row r="278" spans="1:14">
      <c r="A278" s="40" t="s">
        <v>1444</v>
      </c>
      <c r="B278" s="41" t="s">
        <v>1445</v>
      </c>
      <c r="C278" s="41" t="s">
        <v>1445</v>
      </c>
      <c r="D278" s="42">
        <v>1731.45</v>
      </c>
      <c r="E278" s="42">
        <v>2380.7399999999998</v>
      </c>
      <c r="F278" s="41">
        <v>5</v>
      </c>
      <c r="G278" s="42" t="e">
        <f>E277/F277</f>
        <v>#VALUE!</v>
      </c>
      <c r="H278" s="58" t="s">
        <v>1446</v>
      </c>
      <c r="I278" s="41"/>
      <c r="J278" s="41" t="s">
        <v>1447</v>
      </c>
      <c r="K278" s="41"/>
      <c r="L278" s="43" t="s">
        <v>24</v>
      </c>
      <c r="M278" s="5">
        <f>COUNTIF($B$1:$B$1475, B278)</f>
        <v>6</v>
      </c>
      <c r="N278" s="5">
        <f>COUNTIF($H$2:$H$1465, H278)</f>
        <v>28</v>
      </c>
    </row>
    <row r="279" spans="1:14">
      <c r="A279" s="26" t="s">
        <v>1448</v>
      </c>
      <c r="B279" s="23" t="s">
        <v>1445</v>
      </c>
      <c r="C279" s="23" t="s">
        <v>1445</v>
      </c>
      <c r="D279" s="27">
        <v>1731.45</v>
      </c>
      <c r="E279" s="27">
        <v>2380.7399999999998</v>
      </c>
      <c r="F279" s="23">
        <v>5</v>
      </c>
      <c r="G279" s="27">
        <f>E278/F278</f>
        <v>476.14799999999997</v>
      </c>
      <c r="H279" s="59" t="s">
        <v>1446</v>
      </c>
      <c r="I279" s="23"/>
      <c r="J279" s="23" t="s">
        <v>1449</v>
      </c>
      <c r="K279" s="23"/>
      <c r="L279" s="44" t="s">
        <v>24</v>
      </c>
      <c r="M279" s="5">
        <f>COUNTIF($B$1:$B$1475, B279)</f>
        <v>6</v>
      </c>
      <c r="N279" s="5">
        <f>COUNTIF($H$2:$H$1465, H279)</f>
        <v>28</v>
      </c>
    </row>
    <row r="280" spans="1:14">
      <c r="A280" s="40" t="s">
        <v>1450</v>
      </c>
      <c r="B280" s="41" t="s">
        <v>1140</v>
      </c>
      <c r="C280" s="41" t="s">
        <v>1141</v>
      </c>
      <c r="D280" s="42">
        <v>108.22</v>
      </c>
      <c r="E280" s="42">
        <v>108.22</v>
      </c>
      <c r="F280" s="41">
        <v>1</v>
      </c>
      <c r="G280" s="42">
        <f>E279/F279</f>
        <v>476.14799999999997</v>
      </c>
      <c r="H280" s="58" t="s">
        <v>1446</v>
      </c>
      <c r="I280" s="41" t="s">
        <v>1451</v>
      </c>
      <c r="J280" s="41" t="s">
        <v>1452</v>
      </c>
      <c r="K280" s="41" t="s">
        <v>1453</v>
      </c>
      <c r="L280" s="43" t="s">
        <v>24</v>
      </c>
      <c r="M280" s="5">
        <f>COUNTIF($B$1:$B$1475, B280)</f>
        <v>11</v>
      </c>
      <c r="N280" s="5">
        <f>COUNTIF($H$2:$H$1465, H280)</f>
        <v>28</v>
      </c>
    </row>
    <row r="281" spans="1:14">
      <c r="A281" s="26" t="s">
        <v>1454</v>
      </c>
      <c r="B281" s="23" t="s">
        <v>1140</v>
      </c>
      <c r="C281" s="23" t="s">
        <v>1141</v>
      </c>
      <c r="D281" s="27">
        <v>108.22</v>
      </c>
      <c r="E281" s="27">
        <v>108.22</v>
      </c>
      <c r="F281" s="23">
        <v>1</v>
      </c>
      <c r="G281" s="27">
        <f>E280/F280</f>
        <v>108.22</v>
      </c>
      <c r="H281" s="59" t="s">
        <v>1446</v>
      </c>
      <c r="I281" s="23" t="s">
        <v>1455</v>
      </c>
      <c r="J281" s="23" t="s">
        <v>1456</v>
      </c>
      <c r="K281" s="23" t="s">
        <v>1457</v>
      </c>
      <c r="L281" s="44" t="s">
        <v>24</v>
      </c>
      <c r="M281" s="5">
        <f>COUNTIF($B$1:$B$1475, B281)</f>
        <v>11</v>
      </c>
      <c r="N281" s="5">
        <f>COUNTIF($H$2:$H$1465, H281)</f>
        <v>28</v>
      </c>
    </row>
    <row r="282" spans="1:14">
      <c r="A282" s="40" t="s">
        <v>1458</v>
      </c>
      <c r="B282" s="41" t="s">
        <v>731</v>
      </c>
      <c r="C282" s="41" t="s">
        <v>732</v>
      </c>
      <c r="D282" s="42">
        <v>135.27000000000001</v>
      </c>
      <c r="E282" s="42">
        <v>135.27000000000001</v>
      </c>
      <c r="F282" s="41">
        <v>2</v>
      </c>
      <c r="G282" s="42">
        <f>E281/F281</f>
        <v>108.22</v>
      </c>
      <c r="H282" s="58" t="s">
        <v>1446</v>
      </c>
      <c r="I282" s="41" t="s">
        <v>1459</v>
      </c>
      <c r="J282" s="41" t="s">
        <v>1460</v>
      </c>
      <c r="K282" s="41" t="s">
        <v>1461</v>
      </c>
      <c r="L282" s="43" t="s">
        <v>24</v>
      </c>
      <c r="M282" s="5">
        <f>COUNTIF($B$1:$B$1475, B282)</f>
        <v>3</v>
      </c>
      <c r="N282" s="5">
        <f>COUNTIF($H$2:$H$1465, H282)</f>
        <v>28</v>
      </c>
    </row>
    <row r="283" spans="1:14">
      <c r="A283" s="26" t="s">
        <v>1462</v>
      </c>
      <c r="B283" s="23" t="s">
        <v>1463</v>
      </c>
      <c r="C283" s="23" t="s">
        <v>1464</v>
      </c>
      <c r="D283" s="27">
        <v>86.57</v>
      </c>
      <c r="E283" s="27">
        <v>162.32</v>
      </c>
      <c r="F283" s="23">
        <v>2</v>
      </c>
      <c r="G283" s="27">
        <f>E282/F282</f>
        <v>67.635000000000005</v>
      </c>
      <c r="H283" s="59" t="s">
        <v>1446</v>
      </c>
      <c r="I283" s="23" t="s">
        <v>1465</v>
      </c>
      <c r="J283" s="23" t="s">
        <v>1466</v>
      </c>
      <c r="K283" s="23" t="s">
        <v>1467</v>
      </c>
      <c r="L283" s="44" t="s">
        <v>24</v>
      </c>
      <c r="M283" s="5">
        <f>COUNTIF($B$1:$B$1475, B283)</f>
        <v>1</v>
      </c>
      <c r="N283" s="5">
        <f>COUNTIF($H$2:$H$1465, H283)</f>
        <v>28</v>
      </c>
    </row>
    <row r="284" spans="1:14">
      <c r="A284" s="40" t="s">
        <v>1468</v>
      </c>
      <c r="B284" s="41" t="s">
        <v>1029</v>
      </c>
      <c r="C284" s="41" t="s">
        <v>1029</v>
      </c>
      <c r="D284" s="42">
        <v>113.63</v>
      </c>
      <c r="E284" s="42">
        <v>113.63</v>
      </c>
      <c r="F284" s="41">
        <v>2</v>
      </c>
      <c r="G284" s="42">
        <f>E283/F283</f>
        <v>81.16</v>
      </c>
      <c r="H284" s="58" t="s">
        <v>1446</v>
      </c>
      <c r="I284" s="41" t="s">
        <v>1469</v>
      </c>
      <c r="J284" s="41" t="s">
        <v>1470</v>
      </c>
      <c r="K284" s="41" t="s">
        <v>1471</v>
      </c>
      <c r="L284" s="43" t="s">
        <v>24</v>
      </c>
      <c r="M284" s="5">
        <f>COUNTIF($B$1:$B$1475, B284)</f>
        <v>8</v>
      </c>
      <c r="N284" s="5">
        <f>COUNTIF($H$2:$H$1465, H284)</f>
        <v>28</v>
      </c>
    </row>
    <row r="285" spans="1:14">
      <c r="A285" s="26" t="s">
        <v>1472</v>
      </c>
      <c r="B285" s="23" t="s">
        <v>352</v>
      </c>
      <c r="C285" s="23" t="s">
        <v>353</v>
      </c>
      <c r="D285" s="27">
        <v>113.63</v>
      </c>
      <c r="E285" s="27">
        <v>113.63</v>
      </c>
      <c r="F285" s="23">
        <v>1</v>
      </c>
      <c r="G285" s="27">
        <f>E284/F284</f>
        <v>56.814999999999998</v>
      </c>
      <c r="H285" s="59" t="s">
        <v>1446</v>
      </c>
      <c r="I285" s="23" t="s">
        <v>1473</v>
      </c>
      <c r="J285" s="23" t="s">
        <v>1474</v>
      </c>
      <c r="K285" s="23" t="s">
        <v>1475</v>
      </c>
      <c r="L285" s="44" t="s">
        <v>24</v>
      </c>
      <c r="M285" s="5">
        <f>COUNTIF($B$1:$B$1475, B285)</f>
        <v>9</v>
      </c>
      <c r="N285" s="5">
        <f>COUNTIF($H$2:$H$1465, H285)</f>
        <v>28</v>
      </c>
    </row>
    <row r="286" spans="1:14">
      <c r="A286" s="40" t="s">
        <v>1476</v>
      </c>
      <c r="B286" s="41" t="s">
        <v>631</v>
      </c>
      <c r="C286" s="41" t="s">
        <v>1477</v>
      </c>
      <c r="D286" s="42">
        <v>91.98</v>
      </c>
      <c r="E286" s="42">
        <v>119.04</v>
      </c>
      <c r="F286" s="41">
        <v>3</v>
      </c>
      <c r="G286" s="42">
        <f>E285/F285</f>
        <v>113.63</v>
      </c>
      <c r="H286" s="58" t="s">
        <v>1446</v>
      </c>
      <c r="I286" s="41" t="s">
        <v>1478</v>
      </c>
      <c r="J286" s="41" t="s">
        <v>1479</v>
      </c>
      <c r="K286" s="41" t="s">
        <v>1480</v>
      </c>
      <c r="L286" s="43" t="s">
        <v>24</v>
      </c>
      <c r="M286" s="5">
        <f>COUNTIF($B$1:$B$1475, B286)</f>
        <v>5</v>
      </c>
      <c r="N286" s="5">
        <f>COUNTIF($H$2:$H$1465, H286)</f>
        <v>28</v>
      </c>
    </row>
    <row r="287" spans="1:14">
      <c r="A287" s="26" t="s">
        <v>1481</v>
      </c>
      <c r="B287" s="23" t="s">
        <v>1482</v>
      </c>
      <c r="C287" s="23" t="s">
        <v>1483</v>
      </c>
      <c r="D287" s="27">
        <v>81.16</v>
      </c>
      <c r="E287" s="27">
        <v>216.43</v>
      </c>
      <c r="F287" s="23">
        <v>3</v>
      </c>
      <c r="G287" s="27">
        <f>E286/F286</f>
        <v>39.68</v>
      </c>
      <c r="H287" s="59" t="s">
        <v>1446</v>
      </c>
      <c r="I287" s="23" t="s">
        <v>1484</v>
      </c>
      <c r="J287" s="23" t="s">
        <v>1485</v>
      </c>
      <c r="K287" s="23" t="s">
        <v>1486</v>
      </c>
      <c r="L287" s="44" t="s">
        <v>24</v>
      </c>
      <c r="M287" s="5">
        <f>COUNTIF($B$1:$B$1475, B287)</f>
        <v>1</v>
      </c>
      <c r="N287" s="5">
        <f>COUNTIF($H$2:$H$1465, H287)</f>
        <v>28</v>
      </c>
    </row>
    <row r="288" spans="1:14">
      <c r="A288" s="40" t="s">
        <v>1487</v>
      </c>
      <c r="B288" s="41" t="s">
        <v>1488</v>
      </c>
      <c r="C288" s="41" t="s">
        <v>1488</v>
      </c>
      <c r="D288" s="42">
        <v>48.7</v>
      </c>
      <c r="E288" s="42">
        <v>486.97</v>
      </c>
      <c r="F288" s="41">
        <v>20</v>
      </c>
      <c r="G288" s="42">
        <f>E287/F287</f>
        <v>72.143333333333331</v>
      </c>
      <c r="H288" s="58" t="s">
        <v>1446</v>
      </c>
      <c r="I288" s="41" t="s">
        <v>1489</v>
      </c>
      <c r="J288" s="41" t="s">
        <v>1490</v>
      </c>
      <c r="K288" s="41" t="s">
        <v>1491</v>
      </c>
      <c r="L288" s="43" t="s">
        <v>24</v>
      </c>
      <c r="M288" s="5">
        <f>COUNTIF($B$1:$B$1475, B288)</f>
        <v>1</v>
      </c>
      <c r="N288" s="5">
        <f>COUNTIF($H$2:$H$1465, H288)</f>
        <v>28</v>
      </c>
    </row>
    <row r="289" spans="1:14">
      <c r="A289" s="26" t="s">
        <v>1492</v>
      </c>
      <c r="B289" s="23" t="s">
        <v>1493</v>
      </c>
      <c r="C289" s="23" t="s">
        <v>1494</v>
      </c>
      <c r="D289" s="27">
        <v>113.63</v>
      </c>
      <c r="E289" s="27">
        <v>113.63</v>
      </c>
      <c r="F289" s="23">
        <v>1</v>
      </c>
      <c r="G289" s="27">
        <f>E288/F288</f>
        <v>24.348500000000001</v>
      </c>
      <c r="H289" s="59" t="s">
        <v>1446</v>
      </c>
      <c r="I289" s="23" t="s">
        <v>1495</v>
      </c>
      <c r="J289" s="23" t="s">
        <v>1496</v>
      </c>
      <c r="K289" s="23" t="s">
        <v>1497</v>
      </c>
      <c r="L289" s="44" t="s">
        <v>24</v>
      </c>
      <c r="M289" s="5">
        <f>COUNTIF($B$1:$B$1475, B289)</f>
        <v>1</v>
      </c>
      <c r="N289" s="5">
        <f>COUNTIF($H$2:$H$1465, H289)</f>
        <v>28</v>
      </c>
    </row>
    <row r="290" spans="1:14">
      <c r="A290" s="40" t="s">
        <v>1498</v>
      </c>
      <c r="B290" s="41" t="s">
        <v>1445</v>
      </c>
      <c r="C290" s="41" t="s">
        <v>1445</v>
      </c>
      <c r="D290" s="42">
        <v>1731.45</v>
      </c>
      <c r="E290" s="42">
        <v>2380.7399999999998</v>
      </c>
      <c r="F290" s="41">
        <v>3</v>
      </c>
      <c r="G290" s="42">
        <f>E289/F289</f>
        <v>113.63</v>
      </c>
      <c r="H290" s="58" t="s">
        <v>1446</v>
      </c>
      <c r="I290" s="41"/>
      <c r="J290" s="41" t="s">
        <v>1499</v>
      </c>
      <c r="K290" s="41"/>
      <c r="L290" s="43" t="s">
        <v>24</v>
      </c>
      <c r="M290" s="5">
        <f>COUNTIF($B$1:$B$1475, B290)</f>
        <v>6</v>
      </c>
      <c r="N290" s="5">
        <f>COUNTIF($H$2:$H$1465, H290)</f>
        <v>28</v>
      </c>
    </row>
    <row r="291" spans="1:14">
      <c r="A291" s="26" t="s">
        <v>1500</v>
      </c>
      <c r="B291" s="23" t="s">
        <v>1501</v>
      </c>
      <c r="C291" s="23" t="s">
        <v>1502</v>
      </c>
      <c r="D291" s="27">
        <v>102.8</v>
      </c>
      <c r="E291" s="27">
        <v>102.8</v>
      </c>
      <c r="F291" s="23">
        <v>1</v>
      </c>
      <c r="G291" s="27">
        <f>E290/F290</f>
        <v>793.57999999999993</v>
      </c>
      <c r="H291" s="59" t="s">
        <v>1446</v>
      </c>
      <c r="I291" s="23" t="s">
        <v>1503</v>
      </c>
      <c r="J291" s="23" t="s">
        <v>1504</v>
      </c>
      <c r="K291" s="23" t="s">
        <v>1505</v>
      </c>
      <c r="L291" s="44" t="s">
        <v>24</v>
      </c>
      <c r="M291" s="5">
        <f>COUNTIF($B$1:$B$1475, B291)</f>
        <v>3</v>
      </c>
      <c r="N291" s="5">
        <f>COUNTIF($H$2:$H$1465, H291)</f>
        <v>28</v>
      </c>
    </row>
    <row r="292" spans="1:14">
      <c r="A292" s="40" t="s">
        <v>1506</v>
      </c>
      <c r="B292" s="41" t="s">
        <v>1507</v>
      </c>
      <c r="C292" s="41" t="s">
        <v>1508</v>
      </c>
      <c r="D292" s="42">
        <v>81.16</v>
      </c>
      <c r="E292" s="42">
        <v>81.16</v>
      </c>
      <c r="F292" s="41">
        <v>1</v>
      </c>
      <c r="G292" s="42">
        <f>E291/F291</f>
        <v>102.8</v>
      </c>
      <c r="H292" s="58" t="s">
        <v>1446</v>
      </c>
      <c r="I292" s="41" t="s">
        <v>1509</v>
      </c>
      <c r="J292" s="41" t="s">
        <v>1510</v>
      </c>
      <c r="K292" s="41" t="s">
        <v>1511</v>
      </c>
      <c r="L292" s="43" t="s">
        <v>24</v>
      </c>
      <c r="M292" s="5">
        <f>COUNTIF($B$1:$B$1475, B292)</f>
        <v>7</v>
      </c>
      <c r="N292" s="5">
        <f>COUNTIF($H$2:$H$1465, H292)</f>
        <v>28</v>
      </c>
    </row>
    <row r="293" spans="1:14">
      <c r="A293" s="26" t="s">
        <v>1512</v>
      </c>
      <c r="B293" s="23" t="s">
        <v>1507</v>
      </c>
      <c r="C293" s="23" t="s">
        <v>1508</v>
      </c>
      <c r="D293" s="27">
        <v>81.16</v>
      </c>
      <c r="E293" s="27">
        <v>81.16</v>
      </c>
      <c r="F293" s="23">
        <v>1</v>
      </c>
      <c r="G293" s="27">
        <f>E292/F292</f>
        <v>81.16</v>
      </c>
      <c r="H293" s="59" t="s">
        <v>1446</v>
      </c>
      <c r="I293" s="23" t="s">
        <v>1513</v>
      </c>
      <c r="J293" s="23" t="s">
        <v>1514</v>
      </c>
      <c r="K293" s="23" t="s">
        <v>1515</v>
      </c>
      <c r="L293" s="44" t="s">
        <v>24</v>
      </c>
      <c r="M293" s="5">
        <f>COUNTIF($B$1:$B$1475, B293)</f>
        <v>7</v>
      </c>
      <c r="N293" s="5">
        <f>COUNTIF($H$2:$H$1465, H293)</f>
        <v>28</v>
      </c>
    </row>
    <row r="294" spans="1:14">
      <c r="A294" s="40" t="s">
        <v>1516</v>
      </c>
      <c r="B294" s="41" t="s">
        <v>1507</v>
      </c>
      <c r="C294" s="41" t="s">
        <v>1508</v>
      </c>
      <c r="D294" s="42">
        <v>81.16</v>
      </c>
      <c r="E294" s="42">
        <v>81.16</v>
      </c>
      <c r="F294" s="41">
        <v>1</v>
      </c>
      <c r="G294" s="42">
        <f>E293/F293</f>
        <v>81.16</v>
      </c>
      <c r="H294" s="58" t="s">
        <v>1446</v>
      </c>
      <c r="I294" s="41" t="s">
        <v>1517</v>
      </c>
      <c r="J294" s="41" t="s">
        <v>1518</v>
      </c>
      <c r="K294" s="41" t="s">
        <v>1519</v>
      </c>
      <c r="L294" s="43" t="s">
        <v>24</v>
      </c>
      <c r="M294" s="5">
        <f>COUNTIF($B$1:$B$1475, B294)</f>
        <v>7</v>
      </c>
      <c r="N294" s="5">
        <f>COUNTIF($H$2:$H$1465, H294)</f>
        <v>28</v>
      </c>
    </row>
    <row r="295" spans="1:14">
      <c r="A295" s="26" t="s">
        <v>1520</v>
      </c>
      <c r="B295" s="23" t="s">
        <v>1445</v>
      </c>
      <c r="C295" s="23" t="s">
        <v>1445</v>
      </c>
      <c r="D295" s="27">
        <v>1731.45</v>
      </c>
      <c r="E295" s="27">
        <v>2380.7399999999998</v>
      </c>
      <c r="F295" s="23">
        <v>3</v>
      </c>
      <c r="G295" s="27">
        <f>E294/F294</f>
        <v>81.16</v>
      </c>
      <c r="H295" s="59" t="s">
        <v>1446</v>
      </c>
      <c r="I295" s="23"/>
      <c r="J295" s="23" t="s">
        <v>1521</v>
      </c>
      <c r="K295" s="23"/>
      <c r="L295" s="44" t="s">
        <v>24</v>
      </c>
      <c r="M295" s="5">
        <f>COUNTIF($B$1:$B$1475, B295)</f>
        <v>6</v>
      </c>
      <c r="N295" s="5">
        <f>COUNTIF($H$2:$H$1465, H295)</f>
        <v>28</v>
      </c>
    </row>
    <row r="296" spans="1:14">
      <c r="A296" s="40" t="s">
        <v>1522</v>
      </c>
      <c r="B296" s="41" t="s">
        <v>1523</v>
      </c>
      <c r="C296" s="41" t="s">
        <v>1524</v>
      </c>
      <c r="D296" s="42">
        <v>97.39</v>
      </c>
      <c r="E296" s="42">
        <v>97.39</v>
      </c>
      <c r="F296" s="41">
        <v>1</v>
      </c>
      <c r="G296" s="42">
        <f>E295/F295</f>
        <v>793.57999999999993</v>
      </c>
      <c r="H296" s="58" t="s">
        <v>1446</v>
      </c>
      <c r="I296" s="41" t="s">
        <v>1525</v>
      </c>
      <c r="J296" s="41" t="s">
        <v>1526</v>
      </c>
      <c r="K296" s="41" t="s">
        <v>1527</v>
      </c>
      <c r="L296" s="43" t="s">
        <v>24</v>
      </c>
      <c r="M296" s="5">
        <f>COUNTIF($B$1:$B$1475, B296)</f>
        <v>1</v>
      </c>
      <c r="N296" s="5">
        <f>COUNTIF($H$2:$H$1465, H296)</f>
        <v>28</v>
      </c>
    </row>
    <row r="297" spans="1:14">
      <c r="A297" s="40" t="s">
        <v>1528</v>
      </c>
      <c r="B297" s="41" t="s">
        <v>1529</v>
      </c>
      <c r="C297" s="41" t="s">
        <v>1530</v>
      </c>
      <c r="D297" s="42">
        <v>96.78</v>
      </c>
      <c r="E297" s="42">
        <v>107.54</v>
      </c>
      <c r="F297" s="41">
        <v>2</v>
      </c>
      <c r="G297" s="42">
        <f>E296/F296</f>
        <v>97.39</v>
      </c>
      <c r="H297" s="58" t="s">
        <v>1531</v>
      </c>
      <c r="I297" s="41" t="s">
        <v>1532</v>
      </c>
      <c r="J297" s="41" t="s">
        <v>1533</v>
      </c>
      <c r="K297" s="41" t="s">
        <v>1534</v>
      </c>
      <c r="L297" s="43" t="s">
        <v>24</v>
      </c>
      <c r="M297" s="5">
        <f>COUNTIF($B$1:$B$1475, B297)</f>
        <v>2</v>
      </c>
      <c r="N297" s="5">
        <f>COUNTIF($H$2:$H$1465, H297)</f>
        <v>3</v>
      </c>
    </row>
    <row r="298" spans="1:14">
      <c r="A298" s="26" t="s">
        <v>1535</v>
      </c>
      <c r="B298" s="23" t="s">
        <v>1536</v>
      </c>
      <c r="C298" s="23" t="s">
        <v>1537</v>
      </c>
      <c r="D298" s="27">
        <v>91.41</v>
      </c>
      <c r="E298" s="27">
        <v>91.41</v>
      </c>
      <c r="F298" s="23">
        <v>1</v>
      </c>
      <c r="G298" s="42">
        <f>E297/F297</f>
        <v>53.77</v>
      </c>
      <c r="H298" s="59" t="s">
        <v>1531</v>
      </c>
      <c r="I298" s="23" t="s">
        <v>1538</v>
      </c>
      <c r="J298" s="23" t="s">
        <v>1539</v>
      </c>
      <c r="K298" s="23" t="s">
        <v>1540</v>
      </c>
      <c r="L298" s="44" t="s">
        <v>24</v>
      </c>
      <c r="M298" s="5">
        <f>COUNTIF($B$1:$B$1475, B298)</f>
        <v>3</v>
      </c>
      <c r="N298" s="5">
        <f>COUNTIF($H$2:$H$1465, H298)</f>
        <v>3</v>
      </c>
    </row>
    <row r="299" spans="1:14">
      <c r="A299" s="40" t="s">
        <v>1541</v>
      </c>
      <c r="B299" s="41" t="s">
        <v>78</v>
      </c>
      <c r="C299" s="41" t="s">
        <v>79</v>
      </c>
      <c r="D299" s="42">
        <v>86.03</v>
      </c>
      <c r="E299" s="42">
        <v>96.78</v>
      </c>
      <c r="F299" s="41">
        <v>2</v>
      </c>
      <c r="G299" s="42">
        <f>E298/F298</f>
        <v>91.41</v>
      </c>
      <c r="H299" s="58" t="s">
        <v>1531</v>
      </c>
      <c r="I299" s="41" t="s">
        <v>1542</v>
      </c>
      <c r="J299" s="41" t="s">
        <v>1543</v>
      </c>
      <c r="K299" s="41" t="s">
        <v>1544</v>
      </c>
      <c r="L299" s="43" t="s">
        <v>24</v>
      </c>
      <c r="M299" s="5">
        <f>COUNTIF($B$1:$B$1475, B299)</f>
        <v>2</v>
      </c>
      <c r="N299" s="5">
        <f>COUNTIF($H$2:$H$1465, H299)</f>
        <v>3</v>
      </c>
    </row>
    <row r="300" spans="1:14">
      <c r="A300" s="26" t="s">
        <v>1545</v>
      </c>
      <c r="B300" s="23" t="s">
        <v>1029</v>
      </c>
      <c r="C300" s="23" t="s">
        <v>1029</v>
      </c>
      <c r="D300" s="27">
        <v>112.91</v>
      </c>
      <c r="E300" s="27">
        <v>112.91</v>
      </c>
      <c r="F300" s="23">
        <v>2</v>
      </c>
      <c r="G300" s="42">
        <f>E299/F299</f>
        <v>48.39</v>
      </c>
      <c r="H300" s="59" t="s">
        <v>1546</v>
      </c>
      <c r="I300" s="23" t="s">
        <v>1547</v>
      </c>
      <c r="J300" s="23" t="s">
        <v>1548</v>
      </c>
      <c r="K300" s="23" t="s">
        <v>1549</v>
      </c>
      <c r="L300" s="44" t="s">
        <v>24</v>
      </c>
      <c r="M300" s="5">
        <f>COUNTIF($B$1:$B$1475, B300)</f>
        <v>8</v>
      </c>
      <c r="N300" s="5">
        <f>COUNTIF($H$2:$H$1465, H300)</f>
        <v>33</v>
      </c>
    </row>
    <row r="301" spans="1:14">
      <c r="A301" s="40" t="s">
        <v>1550</v>
      </c>
      <c r="B301" s="41" t="s">
        <v>1551</v>
      </c>
      <c r="C301" s="41" t="s">
        <v>1552</v>
      </c>
      <c r="D301" s="42">
        <v>482.64</v>
      </c>
      <c r="E301" s="42">
        <v>1640.98</v>
      </c>
      <c r="F301" s="41">
        <v>4</v>
      </c>
      <c r="G301" s="42">
        <f>E300/F300</f>
        <v>56.454999999999998</v>
      </c>
      <c r="H301" s="58" t="s">
        <v>1553</v>
      </c>
      <c r="I301" s="41" t="s">
        <v>1554</v>
      </c>
      <c r="J301" s="41" t="s">
        <v>1555</v>
      </c>
      <c r="K301" s="41" t="s">
        <v>1556</v>
      </c>
      <c r="L301" s="43" t="s">
        <v>24</v>
      </c>
      <c r="M301" s="5">
        <f>COUNTIF($B$1:$B$1475, B301)</f>
        <v>1</v>
      </c>
      <c r="N301" s="5">
        <f>COUNTIF($H$2:$H$1465, H301)</f>
        <v>19</v>
      </c>
    </row>
    <row r="302" spans="1:14">
      <c r="A302" s="26" t="s">
        <v>1557</v>
      </c>
      <c r="B302" s="23" t="s">
        <v>1558</v>
      </c>
      <c r="C302" s="23" t="s">
        <v>1559</v>
      </c>
      <c r="D302" s="27">
        <v>203.8</v>
      </c>
      <c r="E302" s="27">
        <v>1501.7</v>
      </c>
      <c r="F302" s="23">
        <v>61</v>
      </c>
      <c r="G302" s="27">
        <f>E301/F301</f>
        <v>410.245</v>
      </c>
      <c r="H302" s="59" t="s">
        <v>1553</v>
      </c>
      <c r="I302" s="23" t="s">
        <v>1560</v>
      </c>
      <c r="J302" s="23" t="s">
        <v>1561</v>
      </c>
      <c r="K302" s="23" t="s">
        <v>1562</v>
      </c>
      <c r="L302" s="44" t="s">
        <v>24</v>
      </c>
      <c r="M302" s="5">
        <f>COUNTIF($B$1:$B$1475, B302)</f>
        <v>1</v>
      </c>
      <c r="N302" s="5">
        <f>COUNTIF($H$2:$H$1465, H302)</f>
        <v>19</v>
      </c>
    </row>
    <row r="303" spans="1:14">
      <c r="A303" s="40" t="s">
        <v>1563</v>
      </c>
      <c r="B303" s="41" t="s">
        <v>1564</v>
      </c>
      <c r="C303" s="41" t="s">
        <v>1565</v>
      </c>
      <c r="D303" s="42">
        <v>804.48</v>
      </c>
      <c r="E303" s="42">
        <v>804.48</v>
      </c>
      <c r="F303" s="41">
        <v>1</v>
      </c>
      <c r="G303" s="42">
        <f>E302/F302</f>
        <v>24.618032786885248</v>
      </c>
      <c r="H303" s="58" t="s">
        <v>1566</v>
      </c>
      <c r="I303" s="41" t="s">
        <v>1567</v>
      </c>
      <c r="J303" s="41" t="s">
        <v>1568</v>
      </c>
      <c r="K303" s="41" t="s">
        <v>1569</v>
      </c>
      <c r="L303" s="43" t="s">
        <v>301</v>
      </c>
      <c r="M303" s="5">
        <f>COUNTIF($B$1:$B$1475, B303)</f>
        <v>1</v>
      </c>
      <c r="N303" s="5">
        <f>COUNTIF($H$2:$H$1465, H303)</f>
        <v>36</v>
      </c>
    </row>
    <row r="304" spans="1:14">
      <c r="A304" s="26" t="s">
        <v>1570</v>
      </c>
      <c r="B304" s="23" t="s">
        <v>1571</v>
      </c>
      <c r="C304" s="23" t="s">
        <v>1572</v>
      </c>
      <c r="D304" s="27">
        <v>117.99</v>
      </c>
      <c r="E304" s="27">
        <v>117.99</v>
      </c>
      <c r="F304" s="23">
        <v>1</v>
      </c>
      <c r="G304" s="27">
        <f>E303/F303</f>
        <v>804.48</v>
      </c>
      <c r="H304" s="59" t="s">
        <v>1566</v>
      </c>
      <c r="I304" s="23" t="s">
        <v>1573</v>
      </c>
      <c r="J304" s="23" t="s">
        <v>1574</v>
      </c>
      <c r="K304" s="23" t="s">
        <v>1575</v>
      </c>
      <c r="L304" s="44" t="s">
        <v>24</v>
      </c>
      <c r="M304" s="5">
        <f>COUNTIF($B$1:$B$1475, B304)</f>
        <v>2</v>
      </c>
      <c r="N304" s="5">
        <f>COUNTIF($H$2:$H$1465, H304)</f>
        <v>36</v>
      </c>
    </row>
    <row r="305" spans="1:14">
      <c r="A305" s="40" t="s">
        <v>1576</v>
      </c>
      <c r="B305" s="41" t="s">
        <v>117</v>
      </c>
      <c r="C305" s="41" t="s">
        <v>118</v>
      </c>
      <c r="D305" s="42">
        <v>112.63</v>
      </c>
      <c r="E305" s="42">
        <v>134.08000000000001</v>
      </c>
      <c r="F305" s="41">
        <v>2</v>
      </c>
      <c r="G305" s="42">
        <f>E304/F304</f>
        <v>117.99</v>
      </c>
      <c r="H305" s="58" t="s">
        <v>1566</v>
      </c>
      <c r="I305" s="41" t="s">
        <v>1577</v>
      </c>
      <c r="J305" s="41" t="s">
        <v>1578</v>
      </c>
      <c r="K305" s="41" t="s">
        <v>1579</v>
      </c>
      <c r="L305" s="43" t="s">
        <v>24</v>
      </c>
      <c r="M305" s="5">
        <f>COUNTIF($B$1:$B$1475, B305)</f>
        <v>23</v>
      </c>
      <c r="N305" s="5">
        <f>COUNTIF($H$2:$H$1465, H305)</f>
        <v>36</v>
      </c>
    </row>
    <row r="306" spans="1:14">
      <c r="A306" s="26" t="s">
        <v>1580</v>
      </c>
      <c r="B306" s="23" t="s">
        <v>65</v>
      </c>
      <c r="C306" s="23" t="s">
        <v>58</v>
      </c>
      <c r="D306" s="27">
        <v>91.17</v>
      </c>
      <c r="E306" s="27">
        <v>101.9</v>
      </c>
      <c r="F306" s="23">
        <v>2</v>
      </c>
      <c r="G306" s="27">
        <f>E305/F305</f>
        <v>67.040000000000006</v>
      </c>
      <c r="H306" s="59" t="s">
        <v>1566</v>
      </c>
      <c r="I306" s="23" t="s">
        <v>1581</v>
      </c>
      <c r="J306" s="23" t="s">
        <v>1582</v>
      </c>
      <c r="K306" s="23" t="s">
        <v>1583</v>
      </c>
      <c r="L306" s="44" t="s">
        <v>24</v>
      </c>
      <c r="M306" s="5">
        <f>COUNTIF($B$1:$B$1475, B306)</f>
        <v>35</v>
      </c>
      <c r="N306" s="5">
        <f>COUNTIF($H$2:$H$1465, H306)</f>
        <v>36</v>
      </c>
    </row>
    <row r="307" spans="1:14">
      <c r="A307" s="40" t="s">
        <v>1584</v>
      </c>
      <c r="B307" s="41" t="s">
        <v>57</v>
      </c>
      <c r="C307" s="41" t="s">
        <v>58</v>
      </c>
      <c r="D307" s="42">
        <v>101.9</v>
      </c>
      <c r="E307" s="42">
        <v>123.35</v>
      </c>
      <c r="F307" s="41">
        <v>2</v>
      </c>
      <c r="G307" s="42">
        <f>E306/F306</f>
        <v>50.95</v>
      </c>
      <c r="H307" s="58" t="s">
        <v>1566</v>
      </c>
      <c r="I307" s="41" t="s">
        <v>1585</v>
      </c>
      <c r="J307" s="41" t="s">
        <v>1586</v>
      </c>
      <c r="K307" s="41" t="s">
        <v>1587</v>
      </c>
      <c r="L307" s="43" t="s">
        <v>24</v>
      </c>
      <c r="M307" s="5">
        <f>COUNTIF($B$1:$B$1475, B307)</f>
        <v>7</v>
      </c>
      <c r="N307" s="5">
        <f>COUNTIF($H$2:$H$1465, H307)</f>
        <v>36</v>
      </c>
    </row>
    <row r="308" spans="1:14">
      <c r="A308" s="26" t="s">
        <v>1588</v>
      </c>
      <c r="B308" s="23" t="s">
        <v>1589</v>
      </c>
      <c r="C308" s="23" t="s">
        <v>1590</v>
      </c>
      <c r="D308" s="27">
        <v>85.81</v>
      </c>
      <c r="E308" s="27">
        <v>101.9</v>
      </c>
      <c r="F308" s="23">
        <v>2</v>
      </c>
      <c r="G308" s="27">
        <f>E307/F307</f>
        <v>61.674999999999997</v>
      </c>
      <c r="H308" s="59" t="s">
        <v>1566</v>
      </c>
      <c r="I308" s="23" t="s">
        <v>1591</v>
      </c>
      <c r="J308" s="23" t="s">
        <v>1592</v>
      </c>
      <c r="K308" s="23" t="s">
        <v>1593</v>
      </c>
      <c r="L308" s="44" t="s">
        <v>24</v>
      </c>
      <c r="M308" s="5">
        <f>COUNTIF($B$1:$B$1475, B308)</f>
        <v>2</v>
      </c>
      <c r="N308" s="5">
        <f>COUNTIF($H$2:$H$1465, H308)</f>
        <v>36</v>
      </c>
    </row>
    <row r="309" spans="1:14">
      <c r="A309" s="40" t="s">
        <v>1594</v>
      </c>
      <c r="B309" s="41" t="s">
        <v>606</v>
      </c>
      <c r="C309" s="41" t="s">
        <v>607</v>
      </c>
      <c r="D309" s="42">
        <v>91.17</v>
      </c>
      <c r="E309" s="42">
        <v>107.26</v>
      </c>
      <c r="F309" s="41">
        <v>2</v>
      </c>
      <c r="G309" s="42">
        <f>E308/F308</f>
        <v>50.95</v>
      </c>
      <c r="H309" s="58" t="s">
        <v>1566</v>
      </c>
      <c r="I309" s="41" t="s">
        <v>1595</v>
      </c>
      <c r="J309" s="41" t="s">
        <v>1596</v>
      </c>
      <c r="K309" s="41" t="s">
        <v>1597</v>
      </c>
      <c r="L309" s="43" t="s">
        <v>24</v>
      </c>
      <c r="M309" s="5">
        <f>COUNTIF($B$1:$B$1475, B309)</f>
        <v>4</v>
      </c>
      <c r="N309" s="5">
        <f>COUNTIF($H$2:$H$1465, H309)</f>
        <v>36</v>
      </c>
    </row>
    <row r="310" spans="1:14">
      <c r="A310" s="26" t="s">
        <v>1598</v>
      </c>
      <c r="B310" s="23" t="s">
        <v>905</v>
      </c>
      <c r="C310" s="23" t="s">
        <v>906</v>
      </c>
      <c r="D310" s="27">
        <v>536.32000000000005</v>
      </c>
      <c r="E310" s="27">
        <v>3217.93</v>
      </c>
      <c r="F310" s="23">
        <v>7</v>
      </c>
      <c r="G310" s="27">
        <f>E309/F309</f>
        <v>53.63</v>
      </c>
      <c r="H310" s="59" t="s">
        <v>1566</v>
      </c>
      <c r="I310" s="23" t="s">
        <v>1599</v>
      </c>
      <c r="J310" s="23" t="s">
        <v>1600</v>
      </c>
      <c r="K310" s="23" t="s">
        <v>1601</v>
      </c>
      <c r="L310" s="44" t="s">
        <v>24</v>
      </c>
      <c r="M310" s="5">
        <f>COUNTIF($B$1:$B$1475, B310)</f>
        <v>2</v>
      </c>
      <c r="N310" s="5">
        <f>COUNTIF($H$2:$H$1465, H310)</f>
        <v>36</v>
      </c>
    </row>
    <row r="311" spans="1:14">
      <c r="A311" s="40" t="s">
        <v>1602</v>
      </c>
      <c r="B311" s="41" t="s">
        <v>1603</v>
      </c>
      <c r="C311" s="41" t="s">
        <v>1604</v>
      </c>
      <c r="D311" s="42">
        <v>101.9</v>
      </c>
      <c r="E311" s="42">
        <v>117.99</v>
      </c>
      <c r="F311" s="41">
        <v>2</v>
      </c>
      <c r="G311" s="42">
        <f>E310/F310</f>
        <v>459.70428571428567</v>
      </c>
      <c r="H311" s="58" t="s">
        <v>1566</v>
      </c>
      <c r="I311" s="41" t="s">
        <v>1605</v>
      </c>
      <c r="J311" s="41" t="s">
        <v>1606</v>
      </c>
      <c r="K311" s="41" t="s">
        <v>1607</v>
      </c>
      <c r="L311" s="43" t="s">
        <v>24</v>
      </c>
      <c r="M311" s="5">
        <f>COUNTIF($B$1:$B$1475, B311)</f>
        <v>2</v>
      </c>
      <c r="N311" s="5">
        <f>COUNTIF($H$2:$H$1465, H311)</f>
        <v>36</v>
      </c>
    </row>
    <row r="312" spans="1:14">
      <c r="A312" s="26" t="s">
        <v>1608</v>
      </c>
      <c r="B312" s="23" t="s">
        <v>103</v>
      </c>
      <c r="C312" s="23" t="s">
        <v>104</v>
      </c>
      <c r="D312" s="27">
        <v>155.53</v>
      </c>
      <c r="E312" s="27">
        <v>155.53</v>
      </c>
      <c r="F312" s="23">
        <v>1</v>
      </c>
      <c r="G312" s="27">
        <f>E311/F311</f>
        <v>58.994999999999997</v>
      </c>
      <c r="H312" s="59" t="s">
        <v>1566</v>
      </c>
      <c r="I312" s="23" t="s">
        <v>1609</v>
      </c>
      <c r="J312" s="23" t="s">
        <v>1610</v>
      </c>
      <c r="K312" s="23" t="s">
        <v>1611</v>
      </c>
      <c r="L312" s="44" t="s">
        <v>24</v>
      </c>
      <c r="M312" s="5">
        <f>COUNTIF($B$1:$B$1475, B312)</f>
        <v>17</v>
      </c>
      <c r="N312" s="5">
        <f>COUNTIF($H$2:$H$1465, H312)</f>
        <v>36</v>
      </c>
    </row>
    <row r="313" spans="1:14">
      <c r="A313" s="40" t="s">
        <v>1612</v>
      </c>
      <c r="B313" s="41" t="s">
        <v>352</v>
      </c>
      <c r="C313" s="41" t="s">
        <v>353</v>
      </c>
      <c r="D313" s="42">
        <v>123.35</v>
      </c>
      <c r="E313" s="42">
        <v>123.35</v>
      </c>
      <c r="F313" s="41">
        <v>2</v>
      </c>
      <c r="G313" s="42">
        <f>E312/F312</f>
        <v>155.53</v>
      </c>
      <c r="H313" s="58" t="s">
        <v>1566</v>
      </c>
      <c r="I313" s="41" t="s">
        <v>1613</v>
      </c>
      <c r="J313" s="41" t="s">
        <v>1614</v>
      </c>
      <c r="K313" s="41" t="s">
        <v>1615</v>
      </c>
      <c r="L313" s="43" t="s">
        <v>24</v>
      </c>
      <c r="M313" s="5">
        <f>COUNTIF($B$1:$B$1475, B313)</f>
        <v>9</v>
      </c>
      <c r="N313" s="5">
        <f>COUNTIF($H$2:$H$1465, H313)</f>
        <v>36</v>
      </c>
    </row>
    <row r="314" spans="1:14">
      <c r="A314" s="26" t="s">
        <v>1616</v>
      </c>
      <c r="B314" s="23" t="s">
        <v>1617</v>
      </c>
      <c r="C314" s="23" t="s">
        <v>1617</v>
      </c>
      <c r="D314" s="27">
        <v>80.45</v>
      </c>
      <c r="E314" s="27">
        <v>91.17</v>
      </c>
      <c r="F314" s="23">
        <v>2</v>
      </c>
      <c r="G314" s="27">
        <f>E313/F313</f>
        <v>61.674999999999997</v>
      </c>
      <c r="H314" s="59" t="s">
        <v>1566</v>
      </c>
      <c r="I314" s="23" t="s">
        <v>1618</v>
      </c>
      <c r="J314" s="23" t="s">
        <v>1619</v>
      </c>
      <c r="K314" s="23" t="s">
        <v>1620</v>
      </c>
      <c r="L314" s="44" t="s">
        <v>24</v>
      </c>
      <c r="M314" s="5">
        <f>COUNTIF($B$1:$B$1475, B314)</f>
        <v>1</v>
      </c>
      <c r="N314" s="5">
        <f>COUNTIF($H$2:$H$1465, H314)</f>
        <v>36</v>
      </c>
    </row>
    <row r="315" spans="1:14">
      <c r="A315" s="40" t="s">
        <v>1621</v>
      </c>
      <c r="B315" s="41" t="s">
        <v>1571</v>
      </c>
      <c r="C315" s="41" t="s">
        <v>1572</v>
      </c>
      <c r="D315" s="42">
        <v>96.54</v>
      </c>
      <c r="E315" s="42">
        <v>96.54</v>
      </c>
      <c r="F315" s="41">
        <v>1</v>
      </c>
      <c r="G315" s="42">
        <f>E314/F314</f>
        <v>45.585000000000001</v>
      </c>
      <c r="H315" s="58" t="s">
        <v>1566</v>
      </c>
      <c r="I315" s="41" t="s">
        <v>1622</v>
      </c>
      <c r="J315" s="41" t="s">
        <v>1623</v>
      </c>
      <c r="K315" s="41" t="s">
        <v>1624</v>
      </c>
      <c r="L315" s="43" t="s">
        <v>24</v>
      </c>
      <c r="M315" s="5">
        <f>COUNTIF($B$1:$B$1475, B315)</f>
        <v>2</v>
      </c>
      <c r="N315" s="5">
        <f>COUNTIF($H$2:$H$1465, H315)</f>
        <v>36</v>
      </c>
    </row>
    <row r="316" spans="1:14">
      <c r="A316" s="26" t="s">
        <v>1625</v>
      </c>
      <c r="B316" s="23" t="s">
        <v>211</v>
      </c>
      <c r="C316" s="23" t="s">
        <v>212</v>
      </c>
      <c r="D316" s="27">
        <v>182.35</v>
      </c>
      <c r="E316" s="27">
        <v>182.35</v>
      </c>
      <c r="F316" s="23">
        <v>1</v>
      </c>
      <c r="G316" s="27">
        <f>E315/F315</f>
        <v>96.54</v>
      </c>
      <c r="H316" s="59" t="s">
        <v>1566</v>
      </c>
      <c r="I316" s="23" t="s">
        <v>1626</v>
      </c>
      <c r="J316" s="23" t="s">
        <v>1627</v>
      </c>
      <c r="K316" s="23" t="s">
        <v>1628</v>
      </c>
      <c r="L316" s="44" t="s">
        <v>24</v>
      </c>
      <c r="M316" s="5">
        <f>COUNTIF($B$1:$B$1475, B316)</f>
        <v>3</v>
      </c>
      <c r="N316" s="5">
        <f>COUNTIF($H$2:$H$1465, H316)</f>
        <v>36</v>
      </c>
    </row>
    <row r="317" spans="1:14">
      <c r="A317" s="40" t="s">
        <v>1629</v>
      </c>
      <c r="B317" s="41" t="s">
        <v>1630</v>
      </c>
      <c r="C317" s="41" t="s">
        <v>1631</v>
      </c>
      <c r="D317" s="42">
        <v>209.17</v>
      </c>
      <c r="E317" s="42">
        <v>1067.28</v>
      </c>
      <c r="F317" s="41">
        <v>20</v>
      </c>
      <c r="G317" s="42">
        <f>E316/F316</f>
        <v>182.35</v>
      </c>
      <c r="H317" s="58" t="s">
        <v>1566</v>
      </c>
      <c r="I317" s="41" t="s">
        <v>1632</v>
      </c>
      <c r="J317" s="41" t="s">
        <v>1633</v>
      </c>
      <c r="K317" s="41" t="s">
        <v>1634</v>
      </c>
      <c r="L317" s="43" t="s">
        <v>301</v>
      </c>
      <c r="M317" s="5">
        <f>COUNTIF($B$1:$B$1475, B317)</f>
        <v>1</v>
      </c>
      <c r="N317" s="5">
        <f>COUNTIF($H$2:$H$1465, H317)</f>
        <v>36</v>
      </c>
    </row>
    <row r="318" spans="1:14">
      <c r="A318" s="26" t="s">
        <v>1635</v>
      </c>
      <c r="B318" s="23" t="s">
        <v>1636</v>
      </c>
      <c r="C318" s="23" t="s">
        <v>1637</v>
      </c>
      <c r="D318" s="27">
        <v>123.35</v>
      </c>
      <c r="E318" s="27">
        <v>134.08000000000001</v>
      </c>
      <c r="F318" s="23">
        <v>6</v>
      </c>
      <c r="G318" s="27">
        <f>E317/F317</f>
        <v>53.363999999999997</v>
      </c>
      <c r="H318" s="59" t="s">
        <v>1566</v>
      </c>
      <c r="I318" s="23" t="s">
        <v>1638</v>
      </c>
      <c r="J318" s="23" t="s">
        <v>1639</v>
      </c>
      <c r="K318" s="23" t="s">
        <v>1640</v>
      </c>
      <c r="L318" s="44" t="s">
        <v>24</v>
      </c>
      <c r="M318" s="5">
        <f>COUNTIF($B$1:$B$1475, B318)</f>
        <v>1</v>
      </c>
      <c r="N318" s="5">
        <f>COUNTIF($H$2:$H$1465, H318)</f>
        <v>36</v>
      </c>
    </row>
    <row r="319" spans="1:14">
      <c r="A319" s="40" t="s">
        <v>1641</v>
      </c>
      <c r="B319" s="41" t="s">
        <v>33</v>
      </c>
      <c r="C319" s="41" t="s">
        <v>34</v>
      </c>
      <c r="D319" s="42">
        <v>80.45</v>
      </c>
      <c r="E319" s="42">
        <v>80.45</v>
      </c>
      <c r="F319" s="41">
        <v>1</v>
      </c>
      <c r="G319" s="42">
        <f>E318/F318</f>
        <v>22.346666666666668</v>
      </c>
      <c r="H319" s="58" t="s">
        <v>1566</v>
      </c>
      <c r="I319" s="41" t="s">
        <v>1642</v>
      </c>
      <c r="J319" s="41" t="s">
        <v>1643</v>
      </c>
      <c r="K319" s="41" t="s">
        <v>1644</v>
      </c>
      <c r="L319" s="43" t="s">
        <v>24</v>
      </c>
      <c r="M319" s="5">
        <f>COUNTIF($B$1:$B$1475, B319)</f>
        <v>9</v>
      </c>
      <c r="N319" s="5">
        <f>COUNTIF($H$2:$H$1465, H319)</f>
        <v>36</v>
      </c>
    </row>
    <row r="320" spans="1:14">
      <c r="A320" s="26" t="s">
        <v>1645</v>
      </c>
      <c r="B320" s="23" t="s">
        <v>1646</v>
      </c>
      <c r="C320" s="23" t="s">
        <v>1647</v>
      </c>
      <c r="D320" s="27">
        <v>187.71</v>
      </c>
      <c r="E320" s="27">
        <v>477.33</v>
      </c>
      <c r="F320" s="23">
        <v>3</v>
      </c>
      <c r="G320" s="27">
        <f>E319/F319</f>
        <v>80.45</v>
      </c>
      <c r="H320" s="59" t="s">
        <v>1566</v>
      </c>
      <c r="I320" s="23" t="s">
        <v>1648</v>
      </c>
      <c r="J320" s="23" t="s">
        <v>1649</v>
      </c>
      <c r="K320" s="23" t="s">
        <v>1650</v>
      </c>
      <c r="L320" s="44" t="s">
        <v>24</v>
      </c>
      <c r="M320" s="5">
        <f>COUNTIF($B$1:$B$1475, B320)</f>
        <v>1</v>
      </c>
      <c r="N320" s="5">
        <f>COUNTIF($H$2:$H$1465, H320)</f>
        <v>36</v>
      </c>
    </row>
    <row r="321" spans="1:14">
      <c r="A321" s="40" t="s">
        <v>1651</v>
      </c>
      <c r="B321" s="41" t="s">
        <v>211</v>
      </c>
      <c r="C321" s="41" t="s">
        <v>212</v>
      </c>
      <c r="D321" s="42">
        <v>182.35</v>
      </c>
      <c r="E321" s="42">
        <v>235.98</v>
      </c>
      <c r="F321" s="41">
        <v>9</v>
      </c>
      <c r="G321" s="42">
        <f>E320/F320</f>
        <v>159.10999999999999</v>
      </c>
      <c r="H321" s="58" t="s">
        <v>1566</v>
      </c>
      <c r="I321" s="41" t="s">
        <v>1652</v>
      </c>
      <c r="J321" s="41" t="s">
        <v>1653</v>
      </c>
      <c r="K321" s="41" t="s">
        <v>1654</v>
      </c>
      <c r="L321" s="43" t="s">
        <v>24</v>
      </c>
      <c r="M321" s="5">
        <f>COUNTIF($B$1:$B$1475, B321)</f>
        <v>3</v>
      </c>
      <c r="N321" s="5">
        <f>COUNTIF($H$2:$H$1465, H321)</f>
        <v>36</v>
      </c>
    </row>
    <row r="322" spans="1:14">
      <c r="A322" s="26" t="s">
        <v>1655</v>
      </c>
      <c r="B322" s="23" t="s">
        <v>1656</v>
      </c>
      <c r="C322" s="23" t="s">
        <v>1656</v>
      </c>
      <c r="D322" s="27">
        <v>160.63</v>
      </c>
      <c r="E322" s="27">
        <v>160.63</v>
      </c>
      <c r="F322" s="23">
        <v>1</v>
      </c>
      <c r="G322" s="27">
        <f>E321/F321</f>
        <v>26.22</v>
      </c>
      <c r="H322" s="59" t="s">
        <v>1566</v>
      </c>
      <c r="I322" s="23" t="s">
        <v>1657</v>
      </c>
      <c r="J322" s="23" t="s">
        <v>1658</v>
      </c>
      <c r="K322" s="23" t="s">
        <v>1659</v>
      </c>
      <c r="L322" s="44" t="s">
        <v>24</v>
      </c>
      <c r="M322" s="5">
        <f>COUNTIF($B$1:$B$1475, B322)</f>
        <v>1</v>
      </c>
      <c r="N322" s="5">
        <f>COUNTIF($H$2:$H$1465, H322)</f>
        <v>36</v>
      </c>
    </row>
    <row r="323" spans="1:14">
      <c r="A323" s="40" t="s">
        <v>1660</v>
      </c>
      <c r="B323" s="41" t="s">
        <v>103</v>
      </c>
      <c r="C323" s="41" t="s">
        <v>104</v>
      </c>
      <c r="D323" s="42">
        <v>155.53</v>
      </c>
      <c r="E323" s="42">
        <v>155.53</v>
      </c>
      <c r="F323" s="41">
        <v>1</v>
      </c>
      <c r="G323" s="42">
        <f>E322/F322</f>
        <v>160.63</v>
      </c>
      <c r="H323" s="58" t="s">
        <v>1566</v>
      </c>
      <c r="I323" s="41" t="s">
        <v>1661</v>
      </c>
      <c r="J323" s="41" t="s">
        <v>1662</v>
      </c>
      <c r="K323" s="41" t="s">
        <v>1663</v>
      </c>
      <c r="L323" s="43" t="s">
        <v>24</v>
      </c>
      <c r="M323" s="5">
        <f>COUNTIF($B$1:$B$1475, B323)</f>
        <v>17</v>
      </c>
      <c r="N323" s="5">
        <f>COUNTIF($H$2:$H$1465, H323)</f>
        <v>36</v>
      </c>
    </row>
    <row r="324" spans="1:14">
      <c r="A324" s="26" t="s">
        <v>1664</v>
      </c>
      <c r="B324" s="23" t="s">
        <v>103</v>
      </c>
      <c r="C324" s="23" t="s">
        <v>104</v>
      </c>
      <c r="D324" s="27">
        <v>155.53</v>
      </c>
      <c r="E324" s="27">
        <v>155.53</v>
      </c>
      <c r="F324" s="23">
        <v>1</v>
      </c>
      <c r="G324" s="27">
        <f>E323/F323</f>
        <v>155.53</v>
      </c>
      <c r="H324" s="59" t="s">
        <v>1566</v>
      </c>
      <c r="I324" s="23" t="s">
        <v>1665</v>
      </c>
      <c r="J324" s="23" t="s">
        <v>1666</v>
      </c>
      <c r="K324" s="23" t="s">
        <v>1667</v>
      </c>
      <c r="L324" s="44" t="s">
        <v>24</v>
      </c>
      <c r="M324" s="5">
        <f>COUNTIF($B$1:$B$1475, B324)</f>
        <v>17</v>
      </c>
      <c r="N324" s="5">
        <f>COUNTIF($H$2:$H$1465, H324)</f>
        <v>36</v>
      </c>
    </row>
    <row r="325" spans="1:14">
      <c r="A325" s="40" t="s">
        <v>1668</v>
      </c>
      <c r="B325" s="41" t="s">
        <v>1669</v>
      </c>
      <c r="C325" s="41" t="s">
        <v>1670</v>
      </c>
      <c r="D325" s="42">
        <v>134.08000000000001</v>
      </c>
      <c r="E325" s="42">
        <v>160.9</v>
      </c>
      <c r="F325" s="41">
        <v>20</v>
      </c>
      <c r="G325" s="42">
        <f>E324/F324</f>
        <v>155.53</v>
      </c>
      <c r="H325" s="58" t="s">
        <v>1566</v>
      </c>
      <c r="I325" s="41" t="s">
        <v>1671</v>
      </c>
      <c r="J325" s="41" t="s">
        <v>1672</v>
      </c>
      <c r="K325" s="41" t="s">
        <v>1673</v>
      </c>
      <c r="L325" s="43" t="s">
        <v>301</v>
      </c>
      <c r="M325" s="5">
        <f>COUNTIF($B$1:$B$1475, B325)</f>
        <v>2</v>
      </c>
      <c r="N325" s="5">
        <f>COUNTIF($H$2:$H$1465, H325)</f>
        <v>36</v>
      </c>
    </row>
    <row r="326" spans="1:14">
      <c r="A326" s="26" t="s">
        <v>1674</v>
      </c>
      <c r="B326" s="23" t="s">
        <v>1675</v>
      </c>
      <c r="C326" s="23" t="s">
        <v>1676</v>
      </c>
      <c r="D326" s="27">
        <v>117.99</v>
      </c>
      <c r="E326" s="27">
        <v>128.72</v>
      </c>
      <c r="F326" s="23">
        <v>2</v>
      </c>
      <c r="G326" s="27">
        <f>E325/F325</f>
        <v>8.0449999999999999</v>
      </c>
      <c r="H326" s="59" t="s">
        <v>1566</v>
      </c>
      <c r="I326" s="23" t="s">
        <v>1677</v>
      </c>
      <c r="J326" s="23" t="s">
        <v>1678</v>
      </c>
      <c r="K326" s="23" t="s">
        <v>1679</v>
      </c>
      <c r="L326" s="44" t="s">
        <v>24</v>
      </c>
      <c r="M326" s="5">
        <f>COUNTIF($B$1:$B$1475, B326)</f>
        <v>2</v>
      </c>
      <c r="N326" s="5">
        <f>COUNTIF($H$2:$H$1465, H326)</f>
        <v>36</v>
      </c>
    </row>
    <row r="327" spans="1:14">
      <c r="A327" s="40" t="s">
        <v>1680</v>
      </c>
      <c r="B327" s="41" t="s">
        <v>1681</v>
      </c>
      <c r="C327" s="41" t="s">
        <v>1681</v>
      </c>
      <c r="D327" s="42">
        <v>107.26</v>
      </c>
      <c r="E327" s="42">
        <v>117.99</v>
      </c>
      <c r="F327" s="41">
        <v>3</v>
      </c>
      <c r="G327" s="42">
        <f>E326/F326</f>
        <v>64.36</v>
      </c>
      <c r="H327" s="58" t="s">
        <v>1566</v>
      </c>
      <c r="I327" s="41" t="s">
        <v>1682</v>
      </c>
      <c r="J327" s="41" t="s">
        <v>1683</v>
      </c>
      <c r="K327" s="41" t="s">
        <v>1684</v>
      </c>
      <c r="L327" s="43" t="s">
        <v>24</v>
      </c>
      <c r="M327" s="5">
        <f>COUNTIF($B$1:$B$1475, B327)</f>
        <v>1</v>
      </c>
      <c r="N327" s="5">
        <f>COUNTIF($H$2:$H$1465, H327)</f>
        <v>36</v>
      </c>
    </row>
    <row r="328" spans="1:14">
      <c r="A328" s="26" t="s">
        <v>1685</v>
      </c>
      <c r="B328" s="23" t="s">
        <v>268</v>
      </c>
      <c r="C328" s="23" t="s">
        <v>269</v>
      </c>
      <c r="D328" s="27">
        <v>96.54</v>
      </c>
      <c r="E328" s="27">
        <v>107.26</v>
      </c>
      <c r="F328" s="23">
        <v>2</v>
      </c>
      <c r="G328" s="27">
        <f>E327/F327</f>
        <v>39.33</v>
      </c>
      <c r="H328" s="59" t="s">
        <v>1566</v>
      </c>
      <c r="I328" s="23" t="s">
        <v>1686</v>
      </c>
      <c r="J328" s="23" t="s">
        <v>1687</v>
      </c>
      <c r="K328" s="23" t="s">
        <v>1688</v>
      </c>
      <c r="L328" s="44" t="s">
        <v>24</v>
      </c>
      <c r="M328" s="5">
        <f>COUNTIF($B$1:$B$1475, B328)</f>
        <v>12</v>
      </c>
      <c r="N328" s="5">
        <f>COUNTIF($H$2:$H$1465, H328)</f>
        <v>36</v>
      </c>
    </row>
    <row r="329" spans="1:14">
      <c r="A329" s="40" t="s">
        <v>1689</v>
      </c>
      <c r="B329" s="41" t="s">
        <v>268</v>
      </c>
      <c r="C329" s="41" t="s">
        <v>269</v>
      </c>
      <c r="D329" s="42">
        <v>96.54</v>
      </c>
      <c r="E329" s="42">
        <v>107.26</v>
      </c>
      <c r="F329" s="41">
        <v>2</v>
      </c>
      <c r="G329" s="42">
        <f>E328/F328</f>
        <v>53.63</v>
      </c>
      <c r="H329" s="58" t="s">
        <v>1566</v>
      </c>
      <c r="I329" s="41" t="s">
        <v>1690</v>
      </c>
      <c r="J329" s="41" t="s">
        <v>1691</v>
      </c>
      <c r="K329" s="41" t="s">
        <v>1692</v>
      </c>
      <c r="L329" s="43" t="s">
        <v>24</v>
      </c>
      <c r="M329" s="5">
        <f>COUNTIF($B$1:$B$1475, B329)</f>
        <v>12</v>
      </c>
      <c r="N329" s="5">
        <f>COUNTIF($H$2:$H$1465, H329)</f>
        <v>36</v>
      </c>
    </row>
    <row r="330" spans="1:14">
      <c r="A330" s="26" t="s">
        <v>1693</v>
      </c>
      <c r="B330" s="23" t="s">
        <v>1694</v>
      </c>
      <c r="C330" s="23" t="s">
        <v>1695</v>
      </c>
      <c r="D330" s="27">
        <v>96.54</v>
      </c>
      <c r="E330" s="27">
        <v>96.54</v>
      </c>
      <c r="F330" s="23">
        <v>1</v>
      </c>
      <c r="G330" s="27">
        <f>E329/F329</f>
        <v>53.63</v>
      </c>
      <c r="H330" s="59" t="s">
        <v>1566</v>
      </c>
      <c r="I330" s="23" t="s">
        <v>1696</v>
      </c>
      <c r="J330" s="23" t="s">
        <v>1697</v>
      </c>
      <c r="K330" s="23" t="s">
        <v>1698</v>
      </c>
      <c r="L330" s="44" t="s">
        <v>24</v>
      </c>
      <c r="M330" s="5">
        <f>COUNTIF($B$1:$B$1475, B330)</f>
        <v>1</v>
      </c>
      <c r="N330" s="5">
        <f>COUNTIF($H$2:$H$1465, H330)</f>
        <v>36</v>
      </c>
    </row>
    <row r="331" spans="1:14">
      <c r="A331" s="40" t="s">
        <v>1699</v>
      </c>
      <c r="B331" s="41" t="s">
        <v>65</v>
      </c>
      <c r="C331" s="41" t="s">
        <v>58</v>
      </c>
      <c r="D331" s="42">
        <v>91.17</v>
      </c>
      <c r="E331" s="42">
        <v>101.9</v>
      </c>
      <c r="F331" s="41">
        <v>2</v>
      </c>
      <c r="G331" s="42">
        <f>E330/F330</f>
        <v>96.54</v>
      </c>
      <c r="H331" s="58" t="s">
        <v>1566</v>
      </c>
      <c r="I331" s="41" t="s">
        <v>1700</v>
      </c>
      <c r="J331" s="41" t="s">
        <v>1701</v>
      </c>
      <c r="K331" s="41" t="s">
        <v>1583</v>
      </c>
      <c r="L331" s="43" t="s">
        <v>24</v>
      </c>
      <c r="M331" s="5">
        <f>COUNTIF($B$1:$B$1475, B331)</f>
        <v>35</v>
      </c>
      <c r="N331" s="5">
        <f>COUNTIF($H$2:$H$1465, H331)</f>
        <v>36</v>
      </c>
    </row>
    <row r="332" spans="1:14">
      <c r="A332" s="26" t="s">
        <v>1702</v>
      </c>
      <c r="B332" s="23" t="s">
        <v>183</v>
      </c>
      <c r="C332" s="23" t="s">
        <v>184</v>
      </c>
      <c r="D332" s="27">
        <v>91.17</v>
      </c>
      <c r="E332" s="27">
        <v>402.24</v>
      </c>
      <c r="F332" s="23">
        <v>6</v>
      </c>
      <c r="G332" s="27">
        <f>E331/F331</f>
        <v>50.95</v>
      </c>
      <c r="H332" s="59" t="s">
        <v>1566</v>
      </c>
      <c r="I332" s="23" t="s">
        <v>1703</v>
      </c>
      <c r="J332" s="23" t="s">
        <v>1704</v>
      </c>
      <c r="K332" s="23" t="s">
        <v>1705</v>
      </c>
      <c r="L332" s="44" t="s">
        <v>24</v>
      </c>
      <c r="M332" s="5">
        <f>COUNTIF($B$1:$B$1475, B332)</f>
        <v>4</v>
      </c>
      <c r="N332" s="5">
        <f>COUNTIF($H$2:$H$1465, H332)</f>
        <v>36</v>
      </c>
    </row>
    <row r="333" spans="1:14">
      <c r="A333" s="40" t="s">
        <v>1706</v>
      </c>
      <c r="B333" s="41" t="s">
        <v>1707</v>
      </c>
      <c r="C333" s="41" t="s">
        <v>1708</v>
      </c>
      <c r="D333" s="42">
        <v>80.45</v>
      </c>
      <c r="E333" s="42">
        <v>134.08000000000001</v>
      </c>
      <c r="F333" s="41">
        <v>2</v>
      </c>
      <c r="G333" s="42">
        <f>E332/F332</f>
        <v>67.040000000000006</v>
      </c>
      <c r="H333" s="58" t="s">
        <v>1566</v>
      </c>
      <c r="I333" s="41" t="s">
        <v>1709</v>
      </c>
      <c r="J333" s="41" t="s">
        <v>1710</v>
      </c>
      <c r="K333" s="41" t="s">
        <v>1711</v>
      </c>
      <c r="L333" s="43" t="s">
        <v>24</v>
      </c>
      <c r="M333" s="5">
        <f>COUNTIF($B$1:$B$1475, B333)</f>
        <v>1</v>
      </c>
      <c r="N333" s="5">
        <f>COUNTIF($H$2:$H$1465, H333)</f>
        <v>36</v>
      </c>
    </row>
    <row r="334" spans="1:14">
      <c r="A334" s="26" t="s">
        <v>1712</v>
      </c>
      <c r="B334" s="23" t="s">
        <v>1712</v>
      </c>
      <c r="C334" s="23" t="s">
        <v>1713</v>
      </c>
      <c r="D334" s="27">
        <v>80.45</v>
      </c>
      <c r="E334" s="27">
        <v>80.45</v>
      </c>
      <c r="F334" s="23">
        <v>1</v>
      </c>
      <c r="G334" s="27">
        <f>E333/F333</f>
        <v>67.040000000000006</v>
      </c>
      <c r="H334" s="59" t="s">
        <v>1566</v>
      </c>
      <c r="I334" s="23" t="s">
        <v>1714</v>
      </c>
      <c r="J334" s="23" t="s">
        <v>1715</v>
      </c>
      <c r="K334" s="23" t="s">
        <v>1716</v>
      </c>
      <c r="L334" s="44" t="s">
        <v>24</v>
      </c>
      <c r="M334" s="5">
        <f>COUNTIF($B$1:$B$1475, B334)</f>
        <v>1</v>
      </c>
      <c r="N334" s="5">
        <f>COUNTIF($H$2:$H$1465, H334)</f>
        <v>36</v>
      </c>
    </row>
    <row r="335" spans="1:14">
      <c r="A335" s="40" t="s">
        <v>1717</v>
      </c>
      <c r="B335" s="41" t="s">
        <v>1718</v>
      </c>
      <c r="C335" s="41" t="s">
        <v>1719</v>
      </c>
      <c r="D335" s="42">
        <v>80.45</v>
      </c>
      <c r="E335" s="42">
        <v>536.04999999999995</v>
      </c>
      <c r="F335" s="41">
        <v>14</v>
      </c>
      <c r="G335" s="42">
        <f>E334/F334</f>
        <v>80.45</v>
      </c>
      <c r="H335" s="58" t="s">
        <v>1566</v>
      </c>
      <c r="I335" s="41" t="s">
        <v>1720</v>
      </c>
      <c r="J335" s="41" t="s">
        <v>1721</v>
      </c>
      <c r="K335" s="41" t="s">
        <v>1722</v>
      </c>
      <c r="L335" s="43" t="s">
        <v>24</v>
      </c>
      <c r="M335" s="5">
        <f>COUNTIF($B$1:$B$1475, B335)</f>
        <v>1</v>
      </c>
      <c r="N335" s="5">
        <f>COUNTIF($H$2:$H$1465, H335)</f>
        <v>36</v>
      </c>
    </row>
    <row r="336" spans="1:14">
      <c r="A336" s="26" t="s">
        <v>1723</v>
      </c>
      <c r="B336" s="23" t="s">
        <v>40</v>
      </c>
      <c r="C336" s="23" t="s">
        <v>41</v>
      </c>
      <c r="D336" s="27">
        <v>80.45</v>
      </c>
      <c r="E336" s="27">
        <v>91.17</v>
      </c>
      <c r="F336" s="23">
        <v>2</v>
      </c>
      <c r="G336" s="27">
        <f>E335/F335</f>
        <v>38.289285714285711</v>
      </c>
      <c r="H336" s="59" t="s">
        <v>1566</v>
      </c>
      <c r="I336" s="23" t="s">
        <v>1724</v>
      </c>
      <c r="J336" s="23" t="s">
        <v>1725</v>
      </c>
      <c r="K336" s="23" t="s">
        <v>1726</v>
      </c>
      <c r="L336" s="44" t="s">
        <v>24</v>
      </c>
      <c r="M336" s="5">
        <f>COUNTIF($B$1:$B$1475, B336)</f>
        <v>7</v>
      </c>
      <c r="N336" s="5">
        <f>COUNTIF($H$2:$H$1465, H336)</f>
        <v>36</v>
      </c>
    </row>
    <row r="337" spans="1:14">
      <c r="A337" s="40" t="s">
        <v>1727</v>
      </c>
      <c r="B337" s="41" t="s">
        <v>1536</v>
      </c>
      <c r="C337" s="41" t="s">
        <v>1537</v>
      </c>
      <c r="D337" s="42">
        <v>64.36</v>
      </c>
      <c r="E337" s="42">
        <v>107.26</v>
      </c>
      <c r="F337" s="41">
        <v>14</v>
      </c>
      <c r="G337" s="42">
        <f>E336/F336</f>
        <v>45.585000000000001</v>
      </c>
      <c r="H337" s="58" t="s">
        <v>1566</v>
      </c>
      <c r="I337" s="41" t="s">
        <v>1728</v>
      </c>
      <c r="J337" s="41" t="s">
        <v>1729</v>
      </c>
      <c r="K337" s="41" t="s">
        <v>1730</v>
      </c>
      <c r="L337" s="43" t="s">
        <v>24</v>
      </c>
      <c r="M337" s="5">
        <f>COUNTIF($B$1:$B$1475, B337)</f>
        <v>3</v>
      </c>
      <c r="N337" s="5">
        <f>COUNTIF($H$2:$H$1465, H337)</f>
        <v>36</v>
      </c>
    </row>
    <row r="338" spans="1:14">
      <c r="A338" s="26" t="s">
        <v>1731</v>
      </c>
      <c r="B338" s="23" t="s">
        <v>1732</v>
      </c>
      <c r="C338" s="23" t="s">
        <v>1733</v>
      </c>
      <c r="D338" s="27">
        <v>48.27</v>
      </c>
      <c r="E338" s="27">
        <v>337.88</v>
      </c>
      <c r="F338" s="23">
        <v>9</v>
      </c>
      <c r="G338" s="27">
        <f>E337/F337</f>
        <v>7.6614285714285719</v>
      </c>
      <c r="H338" s="59" t="s">
        <v>1566</v>
      </c>
      <c r="I338" s="23" t="s">
        <v>1734</v>
      </c>
      <c r="J338" s="23" t="s">
        <v>1735</v>
      </c>
      <c r="K338" s="23" t="s">
        <v>1736</v>
      </c>
      <c r="L338" s="44" t="s">
        <v>24</v>
      </c>
      <c r="M338" s="5">
        <f>COUNTIF($B$1:$B$1475, B338)</f>
        <v>1</v>
      </c>
      <c r="N338" s="5">
        <f>COUNTIF($H$2:$H$1465, H338)</f>
        <v>36</v>
      </c>
    </row>
    <row r="339" spans="1:14">
      <c r="A339" s="40" t="s">
        <v>1737</v>
      </c>
      <c r="B339" s="41" t="s">
        <v>1738</v>
      </c>
      <c r="C339" s="41" t="s">
        <v>1738</v>
      </c>
      <c r="D339" s="42">
        <v>80.650000000000006</v>
      </c>
      <c r="E339" s="42">
        <v>80.650000000000006</v>
      </c>
      <c r="F339" s="41">
        <v>1</v>
      </c>
      <c r="G339" s="42">
        <f>E338/F338</f>
        <v>37.542222222222222</v>
      </c>
      <c r="H339" s="58" t="s">
        <v>1553</v>
      </c>
      <c r="I339" s="41" t="s">
        <v>1739</v>
      </c>
      <c r="J339" s="41" t="s">
        <v>1740</v>
      </c>
      <c r="K339" s="41" t="s">
        <v>1741</v>
      </c>
      <c r="L339" s="43" t="s">
        <v>24</v>
      </c>
      <c r="M339" s="5">
        <f>COUNTIF($B$1:$B$1475, B339)</f>
        <v>1</v>
      </c>
      <c r="N339" s="5">
        <f>COUNTIF($H$2:$H$1465, H339)</f>
        <v>19</v>
      </c>
    </row>
    <row r="340" spans="1:14">
      <c r="A340" s="26" t="s">
        <v>1742</v>
      </c>
      <c r="B340" s="23" t="s">
        <v>1743</v>
      </c>
      <c r="C340" s="23" t="s">
        <v>1477</v>
      </c>
      <c r="D340" s="27">
        <v>102.15</v>
      </c>
      <c r="E340" s="27">
        <v>123.66</v>
      </c>
      <c r="F340" s="23">
        <v>3</v>
      </c>
      <c r="G340" s="27">
        <f>E339/F339</f>
        <v>80.650000000000006</v>
      </c>
      <c r="H340" s="59" t="s">
        <v>1553</v>
      </c>
      <c r="I340" s="23" t="s">
        <v>1744</v>
      </c>
      <c r="J340" s="23" t="s">
        <v>1745</v>
      </c>
      <c r="K340" s="23" t="s">
        <v>1746</v>
      </c>
      <c r="L340" s="44" t="s">
        <v>24</v>
      </c>
      <c r="M340" s="5">
        <f>COUNTIF($B$1:$B$1475, B340)</f>
        <v>4</v>
      </c>
      <c r="N340" s="5">
        <f>COUNTIF($H$2:$H$1465, H340)</f>
        <v>19</v>
      </c>
    </row>
    <row r="341" spans="1:14">
      <c r="A341" s="40" t="s">
        <v>1747</v>
      </c>
      <c r="B341" s="41" t="s">
        <v>26</v>
      </c>
      <c r="C341" s="41" t="s">
        <v>27</v>
      </c>
      <c r="D341" s="42">
        <v>75.27</v>
      </c>
      <c r="E341" s="42">
        <v>75.27</v>
      </c>
      <c r="F341" s="41">
        <v>1</v>
      </c>
      <c r="G341" s="42">
        <f>E340/F340</f>
        <v>41.22</v>
      </c>
      <c r="H341" s="58" t="s">
        <v>1553</v>
      </c>
      <c r="I341" s="41" t="s">
        <v>1748</v>
      </c>
      <c r="J341" s="41" t="s">
        <v>1749</v>
      </c>
      <c r="K341" s="41" t="s">
        <v>1750</v>
      </c>
      <c r="L341" s="43" t="s">
        <v>24</v>
      </c>
      <c r="M341" s="5">
        <f>COUNTIF($B$1:$B$1475, B341)</f>
        <v>12</v>
      </c>
      <c r="N341" s="5">
        <f>COUNTIF($H$2:$H$1465, H341)</f>
        <v>19</v>
      </c>
    </row>
    <row r="342" spans="1:14">
      <c r="A342" s="26" t="s">
        <v>1751</v>
      </c>
      <c r="B342" s="23" t="s">
        <v>1752</v>
      </c>
      <c r="C342" s="23" t="s">
        <v>1753</v>
      </c>
      <c r="D342" s="27">
        <v>150.54</v>
      </c>
      <c r="E342" s="27">
        <v>150.54</v>
      </c>
      <c r="F342" s="23">
        <v>1</v>
      </c>
      <c r="G342" s="27">
        <f>E341/F341</f>
        <v>75.27</v>
      </c>
      <c r="H342" s="59" t="s">
        <v>1553</v>
      </c>
      <c r="I342" s="23" t="s">
        <v>1754</v>
      </c>
      <c r="J342" s="23" t="s">
        <v>1755</v>
      </c>
      <c r="K342" s="23" t="s">
        <v>1756</v>
      </c>
      <c r="L342" s="44" t="s">
        <v>24</v>
      </c>
      <c r="M342" s="5">
        <f>COUNTIF($B$1:$B$1475, B342)</f>
        <v>1</v>
      </c>
      <c r="N342" s="5">
        <f>COUNTIF($H$2:$H$1465, H342)</f>
        <v>19</v>
      </c>
    </row>
    <row r="343" spans="1:14">
      <c r="A343" s="26" t="s">
        <v>1757</v>
      </c>
      <c r="B343" s="23" t="s">
        <v>1758</v>
      </c>
      <c r="C343" s="23" t="s">
        <v>1759</v>
      </c>
      <c r="D343" s="27">
        <v>215.05</v>
      </c>
      <c r="E343" s="27">
        <v>1182.8</v>
      </c>
      <c r="F343" s="23">
        <v>20</v>
      </c>
      <c r="G343" s="27">
        <f>E342/F342</f>
        <v>150.54</v>
      </c>
      <c r="H343" s="59" t="s">
        <v>1553</v>
      </c>
      <c r="I343" s="23" t="s">
        <v>1760</v>
      </c>
      <c r="J343" s="23" t="s">
        <v>1761</v>
      </c>
      <c r="K343" s="23" t="s">
        <v>1762</v>
      </c>
      <c r="L343" s="44" t="s">
        <v>24</v>
      </c>
      <c r="M343" s="5">
        <f>COUNTIF($B$1:$B$1475, B343)</f>
        <v>1</v>
      </c>
      <c r="N343" s="5">
        <f>COUNTIF($H$2:$H$1465, H343)</f>
        <v>19</v>
      </c>
    </row>
    <row r="344" spans="1:14">
      <c r="A344" s="40" t="s">
        <v>1763</v>
      </c>
      <c r="B344" s="41" t="s">
        <v>1764</v>
      </c>
      <c r="C344" s="41" t="s">
        <v>1765</v>
      </c>
      <c r="D344" s="42">
        <v>96.77</v>
      </c>
      <c r="E344" s="42">
        <v>161.29</v>
      </c>
      <c r="F344" s="41">
        <v>2</v>
      </c>
      <c r="G344" s="42">
        <f>E343/F343</f>
        <v>59.14</v>
      </c>
      <c r="H344" s="58" t="s">
        <v>1553</v>
      </c>
      <c r="I344" s="41" t="s">
        <v>1766</v>
      </c>
      <c r="J344" s="41" t="s">
        <v>1767</v>
      </c>
      <c r="K344" s="41" t="s">
        <v>1768</v>
      </c>
      <c r="L344" s="43" t="s">
        <v>24</v>
      </c>
      <c r="M344" s="5">
        <f>COUNTIF($B$1:$B$1475, B344)</f>
        <v>2</v>
      </c>
      <c r="N344" s="5">
        <f>COUNTIF($H$2:$H$1465, H344)</f>
        <v>19</v>
      </c>
    </row>
    <row r="345" spans="1:14">
      <c r="A345" s="26" t="s">
        <v>1769</v>
      </c>
      <c r="B345" s="23" t="s">
        <v>1770</v>
      </c>
      <c r="C345" s="23" t="s">
        <v>1771</v>
      </c>
      <c r="D345" s="27">
        <v>102.15</v>
      </c>
      <c r="E345" s="27">
        <v>591.4</v>
      </c>
      <c r="F345" s="23">
        <v>9</v>
      </c>
      <c r="G345" s="27">
        <f>E344/F344</f>
        <v>80.644999999999996</v>
      </c>
      <c r="H345" s="59" t="s">
        <v>1553</v>
      </c>
      <c r="I345" s="23" t="s">
        <v>1772</v>
      </c>
      <c r="J345" s="23" t="s">
        <v>1773</v>
      </c>
      <c r="K345" s="23" t="s">
        <v>1774</v>
      </c>
      <c r="L345" s="44" t="s">
        <v>24</v>
      </c>
      <c r="M345" s="5">
        <f>COUNTIF($B$1:$B$1475, B345)</f>
        <v>2</v>
      </c>
      <c r="N345" s="5">
        <f>COUNTIF($H$2:$H$1465, H345)</f>
        <v>19</v>
      </c>
    </row>
    <row r="346" spans="1:14">
      <c r="A346" s="40" t="s">
        <v>1775</v>
      </c>
      <c r="B346" s="41" t="s">
        <v>57</v>
      </c>
      <c r="C346" s="41" t="s">
        <v>58</v>
      </c>
      <c r="D346" s="42">
        <v>102.15</v>
      </c>
      <c r="E346" s="42">
        <v>123.66</v>
      </c>
      <c r="F346" s="41">
        <v>2</v>
      </c>
      <c r="G346" s="42">
        <f>E345/F345</f>
        <v>65.711111111111109</v>
      </c>
      <c r="H346" s="58" t="s">
        <v>1553</v>
      </c>
      <c r="I346" s="41" t="s">
        <v>1776</v>
      </c>
      <c r="J346" s="41" t="s">
        <v>1777</v>
      </c>
      <c r="K346" s="41" t="s">
        <v>1778</v>
      </c>
      <c r="L346" s="43" t="s">
        <v>24</v>
      </c>
      <c r="M346" s="5">
        <f>COUNTIF($B$1:$B$1475, B346)</f>
        <v>7</v>
      </c>
      <c r="N346" s="5">
        <f>COUNTIF($H$2:$H$1465, H346)</f>
        <v>19</v>
      </c>
    </row>
    <row r="347" spans="1:14">
      <c r="A347" s="26" t="s">
        <v>1779</v>
      </c>
      <c r="B347" s="23" t="s">
        <v>26</v>
      </c>
      <c r="C347" s="23" t="s">
        <v>27</v>
      </c>
      <c r="D347" s="27">
        <v>75.27</v>
      </c>
      <c r="E347" s="27">
        <v>75.27</v>
      </c>
      <c r="F347" s="23">
        <v>1</v>
      </c>
      <c r="G347" s="27">
        <f>E346/F346</f>
        <v>61.83</v>
      </c>
      <c r="H347" s="59" t="s">
        <v>1553</v>
      </c>
      <c r="I347" s="23" t="s">
        <v>1780</v>
      </c>
      <c r="J347" s="23" t="s">
        <v>1781</v>
      </c>
      <c r="K347" s="23" t="s">
        <v>1782</v>
      </c>
      <c r="L347" s="44" t="s">
        <v>24</v>
      </c>
      <c r="M347" s="5">
        <f>COUNTIF($B$1:$B$1475, B347)</f>
        <v>12</v>
      </c>
      <c r="N347" s="5">
        <f>COUNTIF($H$2:$H$1465, H347)</f>
        <v>19</v>
      </c>
    </row>
    <row r="348" spans="1:14">
      <c r="A348" s="26" t="s">
        <v>1783</v>
      </c>
      <c r="B348" s="23" t="s">
        <v>1675</v>
      </c>
      <c r="C348" s="23" t="s">
        <v>1676</v>
      </c>
      <c r="D348" s="27">
        <v>118.28</v>
      </c>
      <c r="E348" s="27">
        <v>424.73</v>
      </c>
      <c r="F348" s="23">
        <v>12</v>
      </c>
      <c r="G348" s="27">
        <f>E347/F347</f>
        <v>75.27</v>
      </c>
      <c r="H348" s="59" t="s">
        <v>1553</v>
      </c>
      <c r="I348" s="23" t="s">
        <v>1784</v>
      </c>
      <c r="J348" s="23" t="s">
        <v>1785</v>
      </c>
      <c r="K348" s="23" t="s">
        <v>1786</v>
      </c>
      <c r="L348" s="44" t="s">
        <v>24</v>
      </c>
      <c r="M348" s="5">
        <f>COUNTIF($B$1:$B$1475, B348)</f>
        <v>2</v>
      </c>
      <c r="N348" s="5">
        <f>COUNTIF($H$2:$H$1465, H348)</f>
        <v>19</v>
      </c>
    </row>
    <row r="349" spans="1:14">
      <c r="A349" s="40" t="s">
        <v>1787</v>
      </c>
      <c r="B349" s="41" t="s">
        <v>117</v>
      </c>
      <c r="C349" s="41" t="s">
        <v>118</v>
      </c>
      <c r="D349" s="42">
        <v>112.9</v>
      </c>
      <c r="E349" s="42">
        <v>134.41</v>
      </c>
      <c r="F349" s="41">
        <v>3</v>
      </c>
      <c r="G349" s="42">
        <f>E348/F348</f>
        <v>35.394166666666671</v>
      </c>
      <c r="H349" s="58" t="s">
        <v>1553</v>
      </c>
      <c r="I349" s="41" t="s">
        <v>1788</v>
      </c>
      <c r="J349" s="41" t="s">
        <v>1789</v>
      </c>
      <c r="K349" s="41" t="s">
        <v>1790</v>
      </c>
      <c r="L349" s="43" t="s">
        <v>24</v>
      </c>
      <c r="M349" s="5">
        <f>COUNTIF($B$1:$B$1475, B349)</f>
        <v>23</v>
      </c>
      <c r="N349" s="5">
        <f>COUNTIF($H$2:$H$1465, H349)</f>
        <v>19</v>
      </c>
    </row>
    <row r="350" spans="1:14">
      <c r="A350" s="26" t="s">
        <v>1791</v>
      </c>
      <c r="B350" s="23" t="s">
        <v>1792</v>
      </c>
      <c r="C350" s="23" t="s">
        <v>1793</v>
      </c>
      <c r="D350" s="27">
        <v>96.77</v>
      </c>
      <c r="E350" s="27">
        <v>96.77</v>
      </c>
      <c r="F350" s="23">
        <v>1</v>
      </c>
      <c r="G350" s="27">
        <f>E349/F349</f>
        <v>44.803333333333335</v>
      </c>
      <c r="H350" s="59" t="s">
        <v>1553</v>
      </c>
      <c r="I350" s="23" t="s">
        <v>1794</v>
      </c>
      <c r="J350" s="23" t="s">
        <v>1795</v>
      </c>
      <c r="K350" s="23" t="s">
        <v>1796</v>
      </c>
      <c r="L350" s="44" t="s">
        <v>24</v>
      </c>
      <c r="M350" s="5">
        <f>COUNTIF($B$1:$B$1475, B350)</f>
        <v>1</v>
      </c>
      <c r="N350" s="5">
        <f>COUNTIF($H$2:$H$1465, H350)</f>
        <v>19</v>
      </c>
    </row>
    <row r="351" spans="1:14">
      <c r="A351" s="40" t="s">
        <v>1797</v>
      </c>
      <c r="B351" s="41" t="s">
        <v>1798</v>
      </c>
      <c r="C351" s="41" t="s">
        <v>1799</v>
      </c>
      <c r="D351" s="42">
        <v>102.15</v>
      </c>
      <c r="E351" s="42">
        <v>102.15</v>
      </c>
      <c r="F351" s="41">
        <v>1</v>
      </c>
      <c r="G351" s="42">
        <f>E350/F350</f>
        <v>96.77</v>
      </c>
      <c r="H351" s="58" t="s">
        <v>1553</v>
      </c>
      <c r="I351" s="41" t="s">
        <v>1800</v>
      </c>
      <c r="J351" s="41" t="s">
        <v>1801</v>
      </c>
      <c r="K351" s="41" t="s">
        <v>1802</v>
      </c>
      <c r="L351" s="43" t="s">
        <v>24</v>
      </c>
      <c r="M351" s="5">
        <f>COUNTIF($B$1:$B$1475, B351)</f>
        <v>1</v>
      </c>
      <c r="N351" s="5">
        <f>COUNTIF($H$2:$H$1465, H351)</f>
        <v>19</v>
      </c>
    </row>
    <row r="352" spans="1:14">
      <c r="A352" s="26" t="s">
        <v>1803</v>
      </c>
      <c r="B352" s="23" t="s">
        <v>1029</v>
      </c>
      <c r="C352" s="23" t="s">
        <v>1029</v>
      </c>
      <c r="D352" s="27">
        <v>112.9</v>
      </c>
      <c r="E352" s="27">
        <v>112.9</v>
      </c>
      <c r="F352" s="23">
        <v>2</v>
      </c>
      <c r="G352" s="27">
        <f>E351/F351</f>
        <v>102.15</v>
      </c>
      <c r="H352" s="59" t="s">
        <v>1553</v>
      </c>
      <c r="I352" s="23" t="s">
        <v>1804</v>
      </c>
      <c r="J352" s="23" t="s">
        <v>1805</v>
      </c>
      <c r="K352" s="23" t="s">
        <v>1806</v>
      </c>
      <c r="L352" s="44" t="s">
        <v>24</v>
      </c>
      <c r="M352" s="5">
        <f>COUNTIF($B$1:$B$1475, B352)</f>
        <v>8</v>
      </c>
      <c r="N352" s="5">
        <f>COUNTIF($H$2:$H$1465, H352)</f>
        <v>19</v>
      </c>
    </row>
    <row r="353" spans="1:14">
      <c r="A353" s="40" t="s">
        <v>1807</v>
      </c>
      <c r="B353" s="41" t="s">
        <v>1764</v>
      </c>
      <c r="C353" s="41" t="s">
        <v>1765</v>
      </c>
      <c r="D353" s="42">
        <v>161.29</v>
      </c>
      <c r="E353" s="42">
        <v>161.29</v>
      </c>
      <c r="F353" s="41">
        <v>1</v>
      </c>
      <c r="G353" s="42">
        <f>E352/F352</f>
        <v>56.45</v>
      </c>
      <c r="H353" s="58" t="s">
        <v>1553</v>
      </c>
      <c r="I353" s="41" t="s">
        <v>1808</v>
      </c>
      <c r="J353" s="41" t="s">
        <v>1809</v>
      </c>
      <c r="K353" s="41" t="s">
        <v>1810</v>
      </c>
      <c r="L353" s="43" t="s">
        <v>24</v>
      </c>
      <c r="M353" s="5">
        <f>COUNTIF($B$1:$B$1475, B353)</f>
        <v>2</v>
      </c>
      <c r="N353" s="5">
        <f>COUNTIF($H$2:$H$1465, H353)</f>
        <v>19</v>
      </c>
    </row>
    <row r="354" spans="1:14">
      <c r="A354" s="26" t="s">
        <v>1811</v>
      </c>
      <c r="B354" s="23" t="s">
        <v>1812</v>
      </c>
      <c r="C354" s="23" t="s">
        <v>1813</v>
      </c>
      <c r="D354" s="27">
        <v>134.41</v>
      </c>
      <c r="E354" s="27">
        <v>591.4</v>
      </c>
      <c r="F354" s="23">
        <v>43</v>
      </c>
      <c r="G354" s="27">
        <f>E353/F353</f>
        <v>161.29</v>
      </c>
      <c r="H354" s="59" t="s">
        <v>1553</v>
      </c>
      <c r="I354" s="23" t="s">
        <v>1814</v>
      </c>
      <c r="J354" s="23" t="s">
        <v>1815</v>
      </c>
      <c r="K354" s="23" t="s">
        <v>1816</v>
      </c>
      <c r="L354" s="44" t="s">
        <v>301</v>
      </c>
      <c r="M354" s="5">
        <f>COUNTIF($B$1:$B$1475, B354)</f>
        <v>1</v>
      </c>
      <c r="N354" s="5">
        <f>COUNTIF($H$2:$H$1465, H354)</f>
        <v>19</v>
      </c>
    </row>
    <row r="355" spans="1:14">
      <c r="A355" s="40" t="s">
        <v>1817</v>
      </c>
      <c r="B355" s="41" t="s">
        <v>220</v>
      </c>
      <c r="C355" s="41" t="s">
        <v>221</v>
      </c>
      <c r="D355" s="42">
        <v>129.03</v>
      </c>
      <c r="E355" s="42">
        <v>129.03</v>
      </c>
      <c r="F355" s="41">
        <v>2</v>
      </c>
      <c r="G355" s="42">
        <f>E354/F354</f>
        <v>13.753488372093022</v>
      </c>
      <c r="H355" s="58" t="s">
        <v>1553</v>
      </c>
      <c r="I355" s="41" t="s">
        <v>1818</v>
      </c>
      <c r="J355" s="41" t="s">
        <v>1819</v>
      </c>
      <c r="K355" s="41" t="s">
        <v>1820</v>
      </c>
      <c r="L355" s="43" t="s">
        <v>24</v>
      </c>
      <c r="M355" s="5">
        <f>COUNTIF($B$1:$B$1475, B355)</f>
        <v>7</v>
      </c>
      <c r="N355" s="5">
        <f>COUNTIF($H$2:$H$1465, H355)</f>
        <v>19</v>
      </c>
    </row>
    <row r="356" spans="1:14">
      <c r="A356" s="40" t="s">
        <v>1821</v>
      </c>
      <c r="B356" s="41" t="s">
        <v>631</v>
      </c>
      <c r="C356" s="41" t="s">
        <v>1477</v>
      </c>
      <c r="D356" s="42">
        <v>92.08</v>
      </c>
      <c r="E356" s="42">
        <v>113.75</v>
      </c>
      <c r="F356" s="41">
        <v>2</v>
      </c>
      <c r="G356" s="42">
        <f>E355/F355</f>
        <v>64.515000000000001</v>
      </c>
      <c r="H356" s="58" t="s">
        <v>1446</v>
      </c>
      <c r="I356" s="41" t="s">
        <v>1822</v>
      </c>
      <c r="J356" s="41" t="s">
        <v>1823</v>
      </c>
      <c r="K356" s="41" t="s">
        <v>1824</v>
      </c>
      <c r="L356" s="43" t="s">
        <v>24</v>
      </c>
      <c r="M356" s="5">
        <f>COUNTIF($B$1:$B$1475, B356)</f>
        <v>5</v>
      </c>
      <c r="N356" s="5">
        <f>COUNTIF($H$2:$H$1465, H356)</f>
        <v>28</v>
      </c>
    </row>
    <row r="357" spans="1:14">
      <c r="A357" s="26" t="s">
        <v>1825</v>
      </c>
      <c r="B357" s="23" t="s">
        <v>117</v>
      </c>
      <c r="C357" s="23" t="s">
        <v>118</v>
      </c>
      <c r="D357" s="27">
        <v>113.75</v>
      </c>
      <c r="E357" s="27">
        <v>178.74</v>
      </c>
      <c r="F357" s="23">
        <v>8</v>
      </c>
      <c r="G357" s="27">
        <f>E356/F356</f>
        <v>56.875</v>
      </c>
      <c r="H357" s="59" t="s">
        <v>1826</v>
      </c>
      <c r="I357" s="23" t="s">
        <v>1827</v>
      </c>
      <c r="J357" s="23" t="s">
        <v>1828</v>
      </c>
      <c r="K357" s="23" t="s">
        <v>1829</v>
      </c>
      <c r="L357" s="44" t="s">
        <v>24</v>
      </c>
      <c r="M357" s="5">
        <f>COUNTIF($B$1:$B$1475, B357)</f>
        <v>23</v>
      </c>
      <c r="N357" s="5">
        <f>COUNTIF($H$2:$H$1465, H357)</f>
        <v>10</v>
      </c>
    </row>
    <row r="358" spans="1:14">
      <c r="A358" s="40" t="s">
        <v>1830</v>
      </c>
      <c r="B358" s="41" t="s">
        <v>1831</v>
      </c>
      <c r="C358" s="41" t="s">
        <v>1832</v>
      </c>
      <c r="D358" s="42">
        <v>97.5</v>
      </c>
      <c r="E358" s="42">
        <v>189.58</v>
      </c>
      <c r="F358" s="41">
        <v>7</v>
      </c>
      <c r="G358" s="42">
        <f>E357/F357</f>
        <v>22.342500000000001</v>
      </c>
      <c r="H358" s="58" t="s">
        <v>1826</v>
      </c>
      <c r="I358" s="41" t="s">
        <v>1833</v>
      </c>
      <c r="J358" s="41" t="s">
        <v>1834</v>
      </c>
      <c r="K358" s="41" t="s">
        <v>1835</v>
      </c>
      <c r="L358" s="43" t="s">
        <v>24</v>
      </c>
      <c r="M358" s="5">
        <f>COUNTIF($B$1:$B$1475, B358)</f>
        <v>1</v>
      </c>
      <c r="N358" s="5">
        <f>COUNTIF($H$2:$H$1465, H358)</f>
        <v>10</v>
      </c>
    </row>
    <row r="359" spans="1:14">
      <c r="A359" s="26" t="s">
        <v>1836</v>
      </c>
      <c r="B359" s="23" t="s">
        <v>1837</v>
      </c>
      <c r="C359" s="23" t="s">
        <v>1838</v>
      </c>
      <c r="D359" s="27">
        <v>75.83</v>
      </c>
      <c r="E359" s="27">
        <v>75.83</v>
      </c>
      <c r="F359" s="23">
        <v>1</v>
      </c>
      <c r="G359" s="27">
        <f>E358/F358</f>
        <v>27.082857142857144</v>
      </c>
      <c r="H359" s="59" t="s">
        <v>1826</v>
      </c>
      <c r="I359" s="23" t="s">
        <v>1839</v>
      </c>
      <c r="J359" s="23" t="s">
        <v>1840</v>
      </c>
      <c r="K359" s="23" t="s">
        <v>1841</v>
      </c>
      <c r="L359" s="44" t="s">
        <v>24</v>
      </c>
      <c r="M359" s="5">
        <f>COUNTIF($B$1:$B$1475, B359)</f>
        <v>1</v>
      </c>
      <c r="N359" s="5">
        <f>COUNTIF($H$2:$H$1465, H359)</f>
        <v>10</v>
      </c>
    </row>
    <row r="360" spans="1:14">
      <c r="A360" s="40" t="s">
        <v>1842</v>
      </c>
      <c r="B360" s="41" t="s">
        <v>460</v>
      </c>
      <c r="C360" s="41" t="s">
        <v>461</v>
      </c>
      <c r="D360" s="42">
        <v>102.91</v>
      </c>
      <c r="E360" s="42">
        <v>102.91</v>
      </c>
      <c r="F360" s="41">
        <v>1</v>
      </c>
      <c r="G360" s="42">
        <f>E359/F359</f>
        <v>75.83</v>
      </c>
      <c r="H360" s="58" t="s">
        <v>1826</v>
      </c>
      <c r="I360" s="41" t="s">
        <v>1843</v>
      </c>
      <c r="J360" s="41" t="s">
        <v>1844</v>
      </c>
      <c r="K360" s="41" t="s">
        <v>1845</v>
      </c>
      <c r="L360" s="43" t="s">
        <v>24</v>
      </c>
      <c r="M360" s="5">
        <f>COUNTIF($B$1:$B$1475, B360)</f>
        <v>2</v>
      </c>
      <c r="N360" s="5">
        <f>COUNTIF($H$2:$H$1465, H360)</f>
        <v>10</v>
      </c>
    </row>
    <row r="361" spans="1:14">
      <c r="A361" s="26" t="s">
        <v>1846</v>
      </c>
      <c r="B361" s="23" t="s">
        <v>165</v>
      </c>
      <c r="C361" s="23" t="s">
        <v>166</v>
      </c>
      <c r="D361" s="27">
        <v>102.91</v>
      </c>
      <c r="E361" s="27">
        <v>102.91</v>
      </c>
      <c r="F361" s="23">
        <v>1</v>
      </c>
      <c r="G361" s="27">
        <f>E360/F360</f>
        <v>102.91</v>
      </c>
      <c r="H361" s="59" t="s">
        <v>1826</v>
      </c>
      <c r="I361" s="23" t="s">
        <v>1847</v>
      </c>
      <c r="J361" s="23" t="s">
        <v>1848</v>
      </c>
      <c r="K361" s="23" t="s">
        <v>1849</v>
      </c>
      <c r="L361" s="44" t="s">
        <v>24</v>
      </c>
      <c r="M361" s="5">
        <f>COUNTIF($B$1:$B$1475, B361)</f>
        <v>3</v>
      </c>
      <c r="N361" s="5">
        <f>COUNTIF($H$2:$H$1465, H361)</f>
        <v>10</v>
      </c>
    </row>
    <row r="362" spans="1:14">
      <c r="A362" s="40" t="s">
        <v>1850</v>
      </c>
      <c r="B362" s="41" t="s">
        <v>555</v>
      </c>
      <c r="C362" s="41" t="s">
        <v>556</v>
      </c>
      <c r="D362" s="42">
        <v>200.41</v>
      </c>
      <c r="E362" s="42">
        <v>243.74</v>
      </c>
      <c r="F362" s="41">
        <v>2</v>
      </c>
      <c r="G362" s="42">
        <f>E361/F361</f>
        <v>102.91</v>
      </c>
      <c r="H362" s="58" t="s">
        <v>1826</v>
      </c>
      <c r="I362" s="41" t="s">
        <v>1851</v>
      </c>
      <c r="J362" s="41" t="s">
        <v>1852</v>
      </c>
      <c r="K362" s="41" t="s">
        <v>562</v>
      </c>
      <c r="L362" s="43" t="s">
        <v>24</v>
      </c>
      <c r="M362" s="5">
        <f>COUNTIF($B$1:$B$1475, B362)</f>
        <v>8</v>
      </c>
      <c r="N362" s="5">
        <f>COUNTIF($H$2:$H$1465, H362)</f>
        <v>10</v>
      </c>
    </row>
    <row r="363" spans="1:14">
      <c r="A363" s="26" t="s">
        <v>1853</v>
      </c>
      <c r="B363" s="23" t="s">
        <v>555</v>
      </c>
      <c r="C363" s="23" t="s">
        <v>556</v>
      </c>
      <c r="D363" s="27">
        <v>200.41</v>
      </c>
      <c r="E363" s="27">
        <v>243.74</v>
      </c>
      <c r="F363" s="23">
        <v>2</v>
      </c>
      <c r="G363" s="27">
        <f>E362/F362</f>
        <v>121.87</v>
      </c>
      <c r="H363" s="59" t="s">
        <v>1826</v>
      </c>
      <c r="I363" s="23" t="s">
        <v>1854</v>
      </c>
      <c r="J363" s="23" t="s">
        <v>1855</v>
      </c>
      <c r="K363" s="23" t="s">
        <v>562</v>
      </c>
      <c r="L363" s="44" t="s">
        <v>24</v>
      </c>
      <c r="M363" s="5">
        <f>COUNTIF($B$1:$B$1475, B363)</f>
        <v>8</v>
      </c>
      <c r="N363" s="5">
        <f>COUNTIF($H$2:$H$1465, H363)</f>
        <v>10</v>
      </c>
    </row>
    <row r="364" spans="1:14">
      <c r="A364" s="40" t="s">
        <v>1856</v>
      </c>
      <c r="B364" s="41" t="s">
        <v>1857</v>
      </c>
      <c r="C364" s="41" t="s">
        <v>1858</v>
      </c>
      <c r="D364" s="42">
        <v>184.16</v>
      </c>
      <c r="E364" s="42">
        <v>1402.87</v>
      </c>
      <c r="F364" s="41">
        <v>31</v>
      </c>
      <c r="G364" s="42">
        <f>E363/F363</f>
        <v>121.87</v>
      </c>
      <c r="H364" s="58" t="s">
        <v>1826</v>
      </c>
      <c r="I364" s="41"/>
      <c r="J364" s="41" t="s">
        <v>1859</v>
      </c>
      <c r="K364" s="41" t="s">
        <v>1860</v>
      </c>
      <c r="L364" s="43" t="s">
        <v>301</v>
      </c>
      <c r="M364" s="5">
        <f>COUNTIF($B$1:$B$1475, B364)</f>
        <v>1</v>
      </c>
      <c r="N364" s="5">
        <f>COUNTIF($H$2:$H$1465, H364)</f>
        <v>10</v>
      </c>
    </row>
    <row r="365" spans="1:14">
      <c r="A365" s="26" t="s">
        <v>1861</v>
      </c>
      <c r="B365" s="23" t="s">
        <v>1000</v>
      </c>
      <c r="C365" s="23" t="s">
        <v>1001</v>
      </c>
      <c r="D365" s="27">
        <v>97.5</v>
      </c>
      <c r="E365" s="27">
        <v>151.66</v>
      </c>
      <c r="F365" s="23">
        <v>7</v>
      </c>
      <c r="G365" s="27">
        <f>E364/F364</f>
        <v>45.253870967741932</v>
      </c>
      <c r="H365" s="59" t="s">
        <v>1826</v>
      </c>
      <c r="I365" s="23" t="s">
        <v>1862</v>
      </c>
      <c r="J365" s="23" t="s">
        <v>1863</v>
      </c>
      <c r="K365" s="23" t="s">
        <v>1864</v>
      </c>
      <c r="L365" s="44" t="s">
        <v>24</v>
      </c>
      <c r="M365" s="5">
        <f>COUNTIF($B$1:$B$1475, B365)</f>
        <v>3</v>
      </c>
      <c r="N365" s="5">
        <f>COUNTIF($H$2:$H$1465, H365)</f>
        <v>10</v>
      </c>
    </row>
    <row r="366" spans="1:14">
      <c r="A366" s="40" t="s">
        <v>1865</v>
      </c>
      <c r="B366" s="41" t="s">
        <v>1507</v>
      </c>
      <c r="C366" s="41" t="s">
        <v>1508</v>
      </c>
      <c r="D366" s="42">
        <v>81.25</v>
      </c>
      <c r="E366" s="42">
        <v>162.49</v>
      </c>
      <c r="F366" s="41">
        <v>2</v>
      </c>
      <c r="G366" s="42">
        <f>E365/F365</f>
        <v>21.665714285714284</v>
      </c>
      <c r="H366" s="58" t="s">
        <v>1826</v>
      </c>
      <c r="I366" s="41" t="s">
        <v>1866</v>
      </c>
      <c r="J366" s="41" t="s">
        <v>1867</v>
      </c>
      <c r="K366" s="41" t="s">
        <v>1868</v>
      </c>
      <c r="L366" s="43" t="s">
        <v>24</v>
      </c>
      <c r="M366" s="5">
        <f>COUNTIF($B$1:$B$1475, B366)</f>
        <v>7</v>
      </c>
      <c r="N366" s="5">
        <f>COUNTIF($H$2:$H$1465, H366)</f>
        <v>10</v>
      </c>
    </row>
    <row r="367" spans="1:14">
      <c r="A367" s="40" t="s">
        <v>1869</v>
      </c>
      <c r="B367" s="41" t="s">
        <v>320</v>
      </c>
      <c r="C367" s="41" t="s">
        <v>321</v>
      </c>
      <c r="D367" s="42">
        <v>227.98</v>
      </c>
      <c r="E367" s="42">
        <v>320.25</v>
      </c>
      <c r="F367" s="41">
        <v>2</v>
      </c>
      <c r="G367" s="42">
        <f>E367/F367</f>
        <v>160.125</v>
      </c>
      <c r="H367" s="58" t="s">
        <v>1446</v>
      </c>
      <c r="I367" s="41" t="s">
        <v>1870</v>
      </c>
      <c r="J367" s="41" t="s">
        <v>1871</v>
      </c>
      <c r="K367" s="41" t="s">
        <v>1872</v>
      </c>
      <c r="L367" s="43" t="s">
        <v>301</v>
      </c>
      <c r="M367" s="5">
        <f>COUNTIF($B$1:$B$1475, B367)</f>
        <v>4</v>
      </c>
      <c r="N367" s="5">
        <f>COUNTIF($H$2:$H$1465, H367)</f>
        <v>28</v>
      </c>
    </row>
    <row r="368" spans="1:14">
      <c r="A368" s="40" t="s">
        <v>1873</v>
      </c>
      <c r="B368" s="41" t="s">
        <v>1529</v>
      </c>
      <c r="C368" s="41" t="s">
        <v>1530</v>
      </c>
      <c r="D368" s="42">
        <v>87.73</v>
      </c>
      <c r="E368" s="42">
        <v>104.17</v>
      </c>
      <c r="F368" s="41">
        <v>2</v>
      </c>
      <c r="G368" s="42">
        <f>E368/F368</f>
        <v>52.085000000000001</v>
      </c>
      <c r="H368" s="58" t="s">
        <v>1874</v>
      </c>
      <c r="I368" s="41" t="s">
        <v>1875</v>
      </c>
      <c r="J368" s="41" t="s">
        <v>1876</v>
      </c>
      <c r="K368" s="41" t="s">
        <v>1877</v>
      </c>
      <c r="L368" s="43" t="s">
        <v>24</v>
      </c>
      <c r="M368" s="5">
        <f>COUNTIF($B$1:$B$1475, B368)</f>
        <v>2</v>
      </c>
      <c r="N368" s="5">
        <f>COUNTIF($H$2:$H$1465, H368)</f>
        <v>1</v>
      </c>
    </row>
    <row r="369" spans="1:14">
      <c r="A369" s="26" t="s">
        <v>1878</v>
      </c>
      <c r="B369" s="23" t="s">
        <v>320</v>
      </c>
      <c r="C369" s="23" t="s">
        <v>321</v>
      </c>
      <c r="D369" s="27">
        <v>230.28</v>
      </c>
      <c r="E369" s="27">
        <v>318.01</v>
      </c>
      <c r="F369" s="23">
        <v>2</v>
      </c>
      <c r="G369" s="27">
        <f>E369/F369</f>
        <v>159.005</v>
      </c>
      <c r="H369" s="59" t="s">
        <v>1879</v>
      </c>
      <c r="I369" s="23" t="s">
        <v>1880</v>
      </c>
      <c r="J369" s="23" t="s">
        <v>1881</v>
      </c>
      <c r="K369" s="23" t="s">
        <v>1882</v>
      </c>
      <c r="L369" s="44" t="s">
        <v>301</v>
      </c>
      <c r="M369" s="5">
        <f>COUNTIF($B$1:$B$1475, B369)</f>
        <v>4</v>
      </c>
      <c r="N369" s="5">
        <f>COUNTIF($H$2:$H$1465, H369)</f>
        <v>58</v>
      </c>
    </row>
    <row r="370" spans="1:14">
      <c r="A370" s="40" t="s">
        <v>1883</v>
      </c>
      <c r="B370" s="41" t="s">
        <v>65</v>
      </c>
      <c r="C370" s="41" t="s">
        <v>58</v>
      </c>
      <c r="D370" s="42">
        <v>93.21</v>
      </c>
      <c r="E370" s="42">
        <v>104.17</v>
      </c>
      <c r="F370" s="41">
        <v>2</v>
      </c>
      <c r="G370" s="42">
        <f>E370/F370</f>
        <v>52.085000000000001</v>
      </c>
      <c r="H370" s="58" t="s">
        <v>1879</v>
      </c>
      <c r="I370" s="41" t="s">
        <v>1884</v>
      </c>
      <c r="J370" s="41" t="s">
        <v>1885</v>
      </c>
      <c r="K370" s="41" t="s">
        <v>1886</v>
      </c>
      <c r="L370" s="43" t="s">
        <v>24</v>
      </c>
      <c r="M370" s="5">
        <f>COUNTIF($B$1:$B$1475, B370)</f>
        <v>35</v>
      </c>
      <c r="N370" s="5">
        <f>COUNTIF($H$2:$H$1465, H370)</f>
        <v>58</v>
      </c>
    </row>
    <row r="371" spans="1:14">
      <c r="A371" s="26" t="s">
        <v>1887</v>
      </c>
      <c r="B371" s="23" t="s">
        <v>1888</v>
      </c>
      <c r="C371" s="23" t="s">
        <v>1889</v>
      </c>
      <c r="D371" s="27">
        <v>87.73</v>
      </c>
      <c r="E371" s="27">
        <v>87.73</v>
      </c>
      <c r="F371" s="23">
        <v>1</v>
      </c>
      <c r="G371" s="27">
        <f>E371/F371</f>
        <v>87.73</v>
      </c>
      <c r="H371" s="59" t="s">
        <v>1879</v>
      </c>
      <c r="I371" s="23" t="s">
        <v>1890</v>
      </c>
      <c r="J371" s="23" t="s">
        <v>1891</v>
      </c>
      <c r="K371" s="23" t="s">
        <v>1892</v>
      </c>
      <c r="L371" s="44" t="s">
        <v>24</v>
      </c>
      <c r="M371" s="5">
        <f>COUNTIF($B$1:$B$1475, B371)</f>
        <v>1</v>
      </c>
      <c r="N371" s="5">
        <f>COUNTIF($H$2:$H$1465, H371)</f>
        <v>58</v>
      </c>
    </row>
    <row r="372" spans="1:14">
      <c r="A372" s="40" t="s">
        <v>1893</v>
      </c>
      <c r="B372" s="41" t="s">
        <v>1346</v>
      </c>
      <c r="C372" s="41" t="s">
        <v>1347</v>
      </c>
      <c r="D372" s="42">
        <v>65.790000000000006</v>
      </c>
      <c r="E372" s="42">
        <v>65.790000000000006</v>
      </c>
      <c r="F372" s="41">
        <v>1</v>
      </c>
      <c r="G372" s="42">
        <f>E372/F372</f>
        <v>65.790000000000006</v>
      </c>
      <c r="H372" s="58" t="s">
        <v>1879</v>
      </c>
      <c r="I372" s="41" t="s">
        <v>1894</v>
      </c>
      <c r="J372" s="41" t="s">
        <v>1895</v>
      </c>
      <c r="K372" s="41" t="s">
        <v>1896</v>
      </c>
      <c r="L372" s="43" t="s">
        <v>24</v>
      </c>
      <c r="M372" s="5">
        <f>COUNTIF($B$1:$B$1475, B372)</f>
        <v>3</v>
      </c>
      <c r="N372" s="5">
        <f>COUNTIF($H$2:$H$1465, H372)</f>
        <v>58</v>
      </c>
    </row>
    <row r="373" spans="1:14">
      <c r="A373" s="26" t="s">
        <v>1897</v>
      </c>
      <c r="B373" s="23" t="s">
        <v>65</v>
      </c>
      <c r="C373" s="23" t="s">
        <v>58</v>
      </c>
      <c r="D373" s="27">
        <v>93.21</v>
      </c>
      <c r="E373" s="27">
        <v>104.17</v>
      </c>
      <c r="F373" s="23">
        <v>2</v>
      </c>
      <c r="G373" s="27">
        <f>E373/F373</f>
        <v>52.085000000000001</v>
      </c>
      <c r="H373" s="59" t="s">
        <v>1879</v>
      </c>
      <c r="I373" s="23" t="s">
        <v>1898</v>
      </c>
      <c r="J373" s="23" t="s">
        <v>1899</v>
      </c>
      <c r="K373" s="23" t="s">
        <v>1886</v>
      </c>
      <c r="L373" s="44" t="s">
        <v>24</v>
      </c>
      <c r="M373" s="5">
        <f>COUNTIF($B$1:$B$1475, B373)</f>
        <v>35</v>
      </c>
      <c r="N373" s="5">
        <f>COUNTIF($H$2:$H$1465, H373)</f>
        <v>58</v>
      </c>
    </row>
    <row r="374" spans="1:14">
      <c r="A374" s="40" t="s">
        <v>1900</v>
      </c>
      <c r="B374" s="41" t="s">
        <v>117</v>
      </c>
      <c r="C374" s="41" t="s">
        <v>118</v>
      </c>
      <c r="D374" s="42">
        <v>115.14</v>
      </c>
      <c r="E374" s="42">
        <v>137.07</v>
      </c>
      <c r="F374" s="41">
        <v>3</v>
      </c>
      <c r="G374" s="42">
        <f>E374/F374</f>
        <v>45.69</v>
      </c>
      <c r="H374" s="58" t="s">
        <v>1879</v>
      </c>
      <c r="I374" s="41" t="s">
        <v>1901</v>
      </c>
      <c r="J374" s="41" t="s">
        <v>1902</v>
      </c>
      <c r="K374" s="41" t="s">
        <v>1903</v>
      </c>
      <c r="L374" s="43" t="s">
        <v>24</v>
      </c>
      <c r="M374" s="5">
        <f>COUNTIF($B$1:$B$1475, B374)</f>
        <v>23</v>
      </c>
      <c r="N374" s="5">
        <f>COUNTIF($H$2:$H$1465, H374)</f>
        <v>58</v>
      </c>
    </row>
    <row r="375" spans="1:14">
      <c r="A375" s="26" t="s">
        <v>1904</v>
      </c>
      <c r="B375" s="23" t="s">
        <v>1905</v>
      </c>
      <c r="C375" s="23" t="s">
        <v>1905</v>
      </c>
      <c r="D375" s="27">
        <v>98.69</v>
      </c>
      <c r="E375" s="27">
        <v>592.15</v>
      </c>
      <c r="F375" s="23">
        <v>6</v>
      </c>
      <c r="G375" s="27">
        <f>E375/F375</f>
        <v>98.691666666666663</v>
      </c>
      <c r="H375" s="59" t="s">
        <v>1879</v>
      </c>
      <c r="I375" s="23"/>
      <c r="J375" s="23" t="s">
        <v>1906</v>
      </c>
      <c r="K375" s="23"/>
      <c r="L375" s="44" t="s">
        <v>24</v>
      </c>
      <c r="M375" s="5">
        <f>COUNTIF($B$1:$B$1475, B375)</f>
        <v>5</v>
      </c>
      <c r="N375" s="5">
        <f>COUNTIF($H$2:$H$1465, H375)</f>
        <v>58</v>
      </c>
    </row>
    <row r="376" spans="1:14">
      <c r="A376" s="40" t="s">
        <v>1907</v>
      </c>
      <c r="B376" s="41" t="s">
        <v>1905</v>
      </c>
      <c r="C376" s="41" t="s">
        <v>1905</v>
      </c>
      <c r="D376" s="42">
        <v>98.69</v>
      </c>
      <c r="E376" s="42">
        <v>789.53</v>
      </c>
      <c r="F376" s="41">
        <v>8</v>
      </c>
      <c r="G376" s="42">
        <f>E376/F376</f>
        <v>98.691249999999997</v>
      </c>
      <c r="H376" s="58" t="s">
        <v>1879</v>
      </c>
      <c r="I376" s="41"/>
      <c r="J376" s="41" t="s">
        <v>1908</v>
      </c>
      <c r="K376" s="41"/>
      <c r="L376" s="43" t="s">
        <v>24</v>
      </c>
      <c r="M376" s="5">
        <f>COUNTIF($B$1:$B$1475, B376)</f>
        <v>5</v>
      </c>
      <c r="N376" s="5">
        <f>COUNTIF($H$2:$H$1465, H376)</f>
        <v>58</v>
      </c>
    </row>
    <row r="377" spans="1:14">
      <c r="A377" s="26" t="s">
        <v>1909</v>
      </c>
      <c r="B377" s="23" t="s">
        <v>1905</v>
      </c>
      <c r="C377" s="23" t="s">
        <v>1905</v>
      </c>
      <c r="D377" s="27">
        <v>98.69</v>
      </c>
      <c r="E377" s="27">
        <v>592.15</v>
      </c>
      <c r="F377" s="23">
        <v>6</v>
      </c>
      <c r="G377" s="27">
        <f>E377/F377</f>
        <v>98.691666666666663</v>
      </c>
      <c r="H377" s="59" t="s">
        <v>1879</v>
      </c>
      <c r="I377" s="23"/>
      <c r="J377" s="23" t="s">
        <v>1910</v>
      </c>
      <c r="K377" s="23"/>
      <c r="L377" s="44" t="s">
        <v>24</v>
      </c>
      <c r="M377" s="5">
        <f>COUNTIF($B$1:$B$1475, B377)</f>
        <v>5</v>
      </c>
      <c r="N377" s="5">
        <f>COUNTIF($H$2:$H$1465, H377)</f>
        <v>58</v>
      </c>
    </row>
    <row r="378" spans="1:14">
      <c r="A378" s="40" t="s">
        <v>1911</v>
      </c>
      <c r="B378" s="41" t="s">
        <v>65</v>
      </c>
      <c r="C378" s="41" t="s">
        <v>58</v>
      </c>
      <c r="D378" s="42">
        <v>93.21</v>
      </c>
      <c r="E378" s="42">
        <v>104.17</v>
      </c>
      <c r="F378" s="41">
        <v>2</v>
      </c>
      <c r="G378" s="42">
        <f>E378/F378</f>
        <v>52.085000000000001</v>
      </c>
      <c r="H378" s="58" t="s">
        <v>1879</v>
      </c>
      <c r="I378" s="41" t="s">
        <v>1912</v>
      </c>
      <c r="J378" s="41" t="s">
        <v>1913</v>
      </c>
      <c r="K378" s="41" t="s">
        <v>1886</v>
      </c>
      <c r="L378" s="43" t="s">
        <v>24</v>
      </c>
      <c r="M378" s="5">
        <f>COUNTIF($B$1:$B$1475, B378)</f>
        <v>35</v>
      </c>
      <c r="N378" s="5">
        <f>COUNTIF($H$2:$H$1465, H378)</f>
        <v>58</v>
      </c>
    </row>
    <row r="379" spans="1:14">
      <c r="A379" s="26" t="s">
        <v>1914</v>
      </c>
      <c r="B379" s="23" t="s">
        <v>65</v>
      </c>
      <c r="C379" s="23" t="s">
        <v>58</v>
      </c>
      <c r="D379" s="27">
        <v>93.21</v>
      </c>
      <c r="E379" s="27">
        <v>104.17</v>
      </c>
      <c r="F379" s="23">
        <v>2</v>
      </c>
      <c r="G379" s="27">
        <f>E379/F379</f>
        <v>52.085000000000001</v>
      </c>
      <c r="H379" s="59" t="s">
        <v>1879</v>
      </c>
      <c r="I379" s="23" t="s">
        <v>1915</v>
      </c>
      <c r="J379" s="23" t="s">
        <v>1916</v>
      </c>
      <c r="K379" s="23" t="s">
        <v>1917</v>
      </c>
      <c r="L379" s="44" t="s">
        <v>24</v>
      </c>
      <c r="M379" s="5">
        <f>COUNTIF($B$1:$B$1475, B379)</f>
        <v>35</v>
      </c>
      <c r="N379" s="5">
        <f>COUNTIF($H$2:$H$1465, H379)</f>
        <v>58</v>
      </c>
    </row>
    <row r="380" spans="1:14">
      <c r="A380" s="40" t="s">
        <v>1918</v>
      </c>
      <c r="B380" s="41" t="s">
        <v>358</v>
      </c>
      <c r="C380" s="41" t="s">
        <v>359</v>
      </c>
      <c r="D380" s="42">
        <v>137.07</v>
      </c>
      <c r="E380" s="42">
        <v>148.04</v>
      </c>
      <c r="F380" s="41">
        <v>2</v>
      </c>
      <c r="G380" s="42">
        <f>E380/F380</f>
        <v>74.02</v>
      </c>
      <c r="H380" s="58" t="s">
        <v>1879</v>
      </c>
      <c r="I380" s="41" t="s">
        <v>1919</v>
      </c>
      <c r="J380" s="41" t="s">
        <v>1920</v>
      </c>
      <c r="K380" s="41" t="s">
        <v>1921</v>
      </c>
      <c r="L380" s="43" t="s">
        <v>24</v>
      </c>
      <c r="M380" s="5">
        <f>COUNTIF($B$1:$B$1475, B380)</f>
        <v>2</v>
      </c>
      <c r="N380" s="5">
        <f>COUNTIF($H$2:$H$1465, H380)</f>
        <v>58</v>
      </c>
    </row>
    <row r="381" spans="1:14">
      <c r="A381" s="26" t="s">
        <v>1922</v>
      </c>
      <c r="B381" s="23" t="s">
        <v>1923</v>
      </c>
      <c r="C381" s="23" t="s">
        <v>1924</v>
      </c>
      <c r="D381" s="27">
        <v>411.21</v>
      </c>
      <c r="E381" s="27">
        <v>904.67</v>
      </c>
      <c r="F381" s="23">
        <v>55</v>
      </c>
      <c r="G381" s="27">
        <f>E381/F381</f>
        <v>16.448545454545453</v>
      </c>
      <c r="H381" s="59" t="s">
        <v>1879</v>
      </c>
      <c r="I381" s="23" t="s">
        <v>1925</v>
      </c>
      <c r="J381" s="23" t="s">
        <v>1926</v>
      </c>
      <c r="K381" s="23" t="s">
        <v>1927</v>
      </c>
      <c r="L381" s="44" t="s">
        <v>301</v>
      </c>
      <c r="M381" s="5">
        <f>COUNTIF($B$1:$B$1475, B381)</f>
        <v>1</v>
      </c>
      <c r="N381" s="5">
        <f>COUNTIF($H$2:$H$1465, H381)</f>
        <v>58</v>
      </c>
    </row>
    <row r="382" spans="1:14">
      <c r="A382" s="40" t="s">
        <v>1928</v>
      </c>
      <c r="B382" s="41" t="s">
        <v>1929</v>
      </c>
      <c r="C382" s="41" t="s">
        <v>1930</v>
      </c>
      <c r="D382" s="42">
        <v>219.31</v>
      </c>
      <c r="E382" s="42">
        <v>1754.51</v>
      </c>
      <c r="F382" s="41">
        <v>17</v>
      </c>
      <c r="G382" s="42">
        <f>E382/F382</f>
        <v>103.20647058823529</v>
      </c>
      <c r="H382" s="58" t="s">
        <v>1879</v>
      </c>
      <c r="I382" s="41" t="s">
        <v>1931</v>
      </c>
      <c r="J382" s="41" t="s">
        <v>1932</v>
      </c>
      <c r="K382" s="41" t="s">
        <v>1933</v>
      </c>
      <c r="L382" s="43" t="s">
        <v>301</v>
      </c>
      <c r="M382" s="5">
        <f>COUNTIF($B$1:$B$1475, B382)</f>
        <v>1</v>
      </c>
      <c r="N382" s="5">
        <f>COUNTIF($H$2:$H$1465, H382)</f>
        <v>58</v>
      </c>
    </row>
    <row r="383" spans="1:14">
      <c r="A383" s="26" t="s">
        <v>1934</v>
      </c>
      <c r="B383" s="23" t="s">
        <v>1905</v>
      </c>
      <c r="C383" s="23" t="s">
        <v>1905</v>
      </c>
      <c r="D383" s="27">
        <v>98.69</v>
      </c>
      <c r="E383" s="27">
        <v>197.38</v>
      </c>
      <c r="F383" s="23">
        <v>2</v>
      </c>
      <c r="G383" s="27">
        <f>E383/F383</f>
        <v>98.69</v>
      </c>
      <c r="H383" s="59" t="s">
        <v>1879</v>
      </c>
      <c r="I383" s="23"/>
      <c r="J383" s="23" t="s">
        <v>1935</v>
      </c>
      <c r="K383" s="23"/>
      <c r="L383" s="44" t="s">
        <v>24</v>
      </c>
      <c r="M383" s="5">
        <f>COUNTIF($B$1:$B$1475, B383)</f>
        <v>5</v>
      </c>
      <c r="N383" s="5">
        <f>COUNTIF($H$2:$H$1465, H383)</f>
        <v>58</v>
      </c>
    </row>
    <row r="384" spans="1:14">
      <c r="A384" s="40" t="s">
        <v>1936</v>
      </c>
      <c r="B384" s="41" t="s">
        <v>1937</v>
      </c>
      <c r="C384" s="41" t="s">
        <v>1938</v>
      </c>
      <c r="D384" s="42">
        <v>93.21</v>
      </c>
      <c r="E384" s="42">
        <v>115.14</v>
      </c>
      <c r="F384" s="41">
        <v>2</v>
      </c>
      <c r="G384" s="42">
        <f>E384/F384</f>
        <v>57.57</v>
      </c>
      <c r="H384" s="58" t="s">
        <v>1879</v>
      </c>
      <c r="I384" s="41" t="s">
        <v>1939</v>
      </c>
      <c r="J384" s="41" t="s">
        <v>1940</v>
      </c>
      <c r="K384" s="41" t="s">
        <v>1941</v>
      </c>
      <c r="L384" s="43" t="s">
        <v>24</v>
      </c>
      <c r="M384" s="5">
        <f>COUNTIF($B$1:$B$1475, B384)</f>
        <v>3</v>
      </c>
      <c r="N384" s="5">
        <f>COUNTIF($H$2:$H$1465, H384)</f>
        <v>58</v>
      </c>
    </row>
    <row r="385" spans="1:14">
      <c r="A385" s="26" t="s">
        <v>1942</v>
      </c>
      <c r="B385" s="23" t="s">
        <v>1023</v>
      </c>
      <c r="C385" s="23" t="s">
        <v>1024</v>
      </c>
      <c r="D385" s="27">
        <v>87.73</v>
      </c>
      <c r="E385" s="27">
        <v>87.73</v>
      </c>
      <c r="F385" s="23">
        <v>1</v>
      </c>
      <c r="G385" s="27">
        <f>E385/F385</f>
        <v>87.73</v>
      </c>
      <c r="H385" s="59" t="s">
        <v>1879</v>
      </c>
      <c r="I385" s="23" t="s">
        <v>1943</v>
      </c>
      <c r="J385" s="23" t="s">
        <v>1944</v>
      </c>
      <c r="K385" s="23" t="s">
        <v>1945</v>
      </c>
      <c r="L385" s="44" t="s">
        <v>24</v>
      </c>
      <c r="M385" s="5">
        <f>COUNTIF($B$1:$B$1475, B385)</f>
        <v>7</v>
      </c>
      <c r="N385" s="5">
        <f>COUNTIF($H$2:$H$1465, H385)</f>
        <v>58</v>
      </c>
    </row>
    <row r="386" spans="1:14">
      <c r="A386" s="40" t="s">
        <v>1946</v>
      </c>
      <c r="B386" s="41" t="s">
        <v>1947</v>
      </c>
      <c r="C386" s="41" t="s">
        <v>1948</v>
      </c>
      <c r="D386" s="42">
        <v>60.31</v>
      </c>
      <c r="E386" s="42">
        <v>93.21</v>
      </c>
      <c r="F386" s="41">
        <v>2</v>
      </c>
      <c r="G386" s="42">
        <f>E386/F386</f>
        <v>46.604999999999997</v>
      </c>
      <c r="H386" s="58" t="s">
        <v>1879</v>
      </c>
      <c r="I386" s="41" t="s">
        <v>1949</v>
      </c>
      <c r="J386" s="41" t="s">
        <v>1950</v>
      </c>
      <c r="K386" s="41" t="s">
        <v>1951</v>
      </c>
      <c r="L386" s="43" t="s">
        <v>24</v>
      </c>
      <c r="M386" s="5">
        <f>COUNTIF($B$1:$B$1475, B386)</f>
        <v>1</v>
      </c>
      <c r="N386" s="5">
        <f>COUNTIF($H$2:$H$1465, H386)</f>
        <v>58</v>
      </c>
    </row>
    <row r="387" spans="1:14">
      <c r="A387" s="26" t="s">
        <v>1952</v>
      </c>
      <c r="B387" s="23" t="s">
        <v>1140</v>
      </c>
      <c r="C387" s="23" t="s">
        <v>1141</v>
      </c>
      <c r="D387" s="27">
        <v>164.49</v>
      </c>
      <c r="E387" s="27">
        <v>164.49</v>
      </c>
      <c r="F387" s="23">
        <v>1</v>
      </c>
      <c r="G387" s="27">
        <f>E387/F387</f>
        <v>164.49</v>
      </c>
      <c r="H387" s="59" t="s">
        <v>1879</v>
      </c>
      <c r="I387" s="23" t="s">
        <v>1953</v>
      </c>
      <c r="J387" s="23" t="s">
        <v>1954</v>
      </c>
      <c r="K387" s="23" t="s">
        <v>1955</v>
      </c>
      <c r="L387" s="44" t="s">
        <v>24</v>
      </c>
      <c r="M387" s="5">
        <f>COUNTIF($B$1:$B$1475, B387)</f>
        <v>11</v>
      </c>
      <c r="N387" s="5">
        <f>COUNTIF($H$2:$H$1465, H387)</f>
        <v>58</v>
      </c>
    </row>
    <row r="388" spans="1:14">
      <c r="A388" s="40" t="s">
        <v>1956</v>
      </c>
      <c r="B388" s="41" t="s">
        <v>455</v>
      </c>
      <c r="C388" s="41" t="s">
        <v>212</v>
      </c>
      <c r="D388" s="42">
        <v>137.07</v>
      </c>
      <c r="E388" s="42">
        <v>159</v>
      </c>
      <c r="F388" s="41">
        <v>2</v>
      </c>
      <c r="G388" s="42">
        <f>E388/F388</f>
        <v>79.5</v>
      </c>
      <c r="H388" s="58" t="s">
        <v>1879</v>
      </c>
      <c r="I388" s="41" t="s">
        <v>1957</v>
      </c>
      <c r="J388" s="41" t="s">
        <v>1958</v>
      </c>
      <c r="K388" s="41" t="s">
        <v>1959</v>
      </c>
      <c r="L388" s="43" t="s">
        <v>24</v>
      </c>
      <c r="M388" s="5">
        <f>COUNTIF($B$1:$B$1475, B388)</f>
        <v>2</v>
      </c>
      <c r="N388" s="5">
        <f>COUNTIF($H$2:$H$1465, H388)</f>
        <v>58</v>
      </c>
    </row>
    <row r="389" spans="1:14">
      <c r="A389" s="26" t="s">
        <v>1960</v>
      </c>
      <c r="B389" s="23" t="s">
        <v>1039</v>
      </c>
      <c r="C389" s="23" t="s">
        <v>1040</v>
      </c>
      <c r="D389" s="27">
        <v>98.69</v>
      </c>
      <c r="E389" s="27">
        <v>98.69</v>
      </c>
      <c r="F389" s="23">
        <v>1</v>
      </c>
      <c r="G389" s="27">
        <f>E389/F389</f>
        <v>98.69</v>
      </c>
      <c r="H389" s="59" t="s">
        <v>1879</v>
      </c>
      <c r="I389" s="23" t="s">
        <v>1961</v>
      </c>
      <c r="J389" s="23" t="s">
        <v>1962</v>
      </c>
      <c r="K389" s="23" t="s">
        <v>1963</v>
      </c>
      <c r="L389" s="44" t="s">
        <v>24</v>
      </c>
      <c r="M389" s="5">
        <f>COUNTIF($B$1:$B$1475, B389)</f>
        <v>3</v>
      </c>
      <c r="N389" s="5">
        <f>COUNTIF($H$2:$H$1465, H389)</f>
        <v>58</v>
      </c>
    </row>
    <row r="390" spans="1:14">
      <c r="A390" s="40" t="s">
        <v>1964</v>
      </c>
      <c r="B390" s="41" t="s">
        <v>65</v>
      </c>
      <c r="C390" s="41" t="s">
        <v>58</v>
      </c>
      <c r="D390" s="42">
        <v>93.21</v>
      </c>
      <c r="E390" s="42">
        <v>104.17</v>
      </c>
      <c r="F390" s="41">
        <v>2</v>
      </c>
      <c r="G390" s="42">
        <f>E390/F390</f>
        <v>52.085000000000001</v>
      </c>
      <c r="H390" s="58" t="s">
        <v>1879</v>
      </c>
      <c r="I390" s="41" t="s">
        <v>1965</v>
      </c>
      <c r="J390" s="41" t="s">
        <v>1966</v>
      </c>
      <c r="K390" s="41" t="s">
        <v>1917</v>
      </c>
      <c r="L390" s="43" t="s">
        <v>24</v>
      </c>
      <c r="M390" s="5">
        <f>COUNTIF($B$1:$B$1475, B390)</f>
        <v>35</v>
      </c>
      <c r="N390" s="5">
        <f>COUNTIF($H$2:$H$1465, H390)</f>
        <v>58</v>
      </c>
    </row>
    <row r="391" spans="1:14">
      <c r="A391" s="26" t="s">
        <v>1967</v>
      </c>
      <c r="B391" s="23" t="s">
        <v>1023</v>
      </c>
      <c r="C391" s="23" t="s">
        <v>1024</v>
      </c>
      <c r="D391" s="27">
        <v>82.24</v>
      </c>
      <c r="E391" s="27">
        <v>82.24</v>
      </c>
      <c r="F391" s="23">
        <v>1</v>
      </c>
      <c r="G391" s="27">
        <f>E391/F391</f>
        <v>82.24</v>
      </c>
      <c r="H391" s="59" t="s">
        <v>1879</v>
      </c>
      <c r="I391" s="23" t="s">
        <v>1968</v>
      </c>
      <c r="J391" s="23" t="s">
        <v>1969</v>
      </c>
      <c r="K391" s="23" t="s">
        <v>1970</v>
      </c>
      <c r="L391" s="44" t="s">
        <v>24</v>
      </c>
      <c r="M391" s="5">
        <f>COUNTIF($B$1:$B$1475, B391)</f>
        <v>7</v>
      </c>
      <c r="N391" s="5">
        <f>COUNTIF($H$2:$H$1465, H391)</f>
        <v>58</v>
      </c>
    </row>
    <row r="392" spans="1:14">
      <c r="A392" s="40" t="s">
        <v>1971</v>
      </c>
      <c r="B392" s="41" t="s">
        <v>988</v>
      </c>
      <c r="C392" s="41" t="s">
        <v>989</v>
      </c>
      <c r="D392" s="42">
        <v>115.14</v>
      </c>
      <c r="E392" s="42">
        <v>115.14</v>
      </c>
      <c r="F392" s="41">
        <v>1</v>
      </c>
      <c r="G392" s="42">
        <f>E392/F392</f>
        <v>115.14</v>
      </c>
      <c r="H392" s="58" t="s">
        <v>1879</v>
      </c>
      <c r="I392" s="41" t="s">
        <v>1972</v>
      </c>
      <c r="J392" s="41" t="s">
        <v>1973</v>
      </c>
      <c r="K392" s="41" t="s">
        <v>1974</v>
      </c>
      <c r="L392" s="43" t="s">
        <v>24</v>
      </c>
      <c r="M392" s="5">
        <f>COUNTIF($B$1:$B$1475, B392)</f>
        <v>2</v>
      </c>
      <c r="N392" s="5">
        <f>COUNTIF($H$2:$H$1465, H392)</f>
        <v>58</v>
      </c>
    </row>
    <row r="393" spans="1:14">
      <c r="A393" s="26" t="s">
        <v>1975</v>
      </c>
      <c r="B393" s="23" t="s">
        <v>1976</v>
      </c>
      <c r="C393" s="23" t="s">
        <v>1977</v>
      </c>
      <c r="D393" s="27">
        <v>164.49</v>
      </c>
      <c r="E393" s="27">
        <v>164.49</v>
      </c>
      <c r="F393" s="23">
        <v>1</v>
      </c>
      <c r="G393" s="27">
        <f>E393/F393</f>
        <v>164.49</v>
      </c>
      <c r="H393" s="59" t="s">
        <v>1879</v>
      </c>
      <c r="I393" s="23" t="s">
        <v>1978</v>
      </c>
      <c r="J393" s="23" t="s">
        <v>1979</v>
      </c>
      <c r="K393" s="23" t="s">
        <v>1980</v>
      </c>
      <c r="L393" s="44" t="s">
        <v>24</v>
      </c>
      <c r="M393" s="5">
        <f>COUNTIF($B$1:$B$1475, B393)</f>
        <v>1</v>
      </c>
      <c r="N393" s="5">
        <f>COUNTIF($H$2:$H$1465, H393)</f>
        <v>58</v>
      </c>
    </row>
    <row r="394" spans="1:14">
      <c r="A394" s="40" t="s">
        <v>1981</v>
      </c>
      <c r="B394" s="41" t="s">
        <v>1982</v>
      </c>
      <c r="C394" s="41" t="s">
        <v>1983</v>
      </c>
      <c r="D394" s="42">
        <v>131.59</v>
      </c>
      <c r="E394" s="42">
        <v>542.79999999999995</v>
      </c>
      <c r="F394" s="41">
        <v>14</v>
      </c>
      <c r="G394" s="42">
        <f>E394/F394</f>
        <v>38.771428571428565</v>
      </c>
      <c r="H394" s="58" t="s">
        <v>1879</v>
      </c>
      <c r="I394" s="41" t="s">
        <v>1984</v>
      </c>
      <c r="J394" s="41" t="s">
        <v>1985</v>
      </c>
      <c r="K394" s="41" t="s">
        <v>1986</v>
      </c>
      <c r="L394" s="43" t="s">
        <v>24</v>
      </c>
      <c r="M394" s="5">
        <f>COUNTIF($B$1:$B$1475, B394)</f>
        <v>1</v>
      </c>
      <c r="N394" s="5">
        <f>COUNTIF($H$2:$H$1465, H394)</f>
        <v>58</v>
      </c>
    </row>
    <row r="395" spans="1:14">
      <c r="A395" s="26" t="s">
        <v>1987</v>
      </c>
      <c r="B395" s="23" t="s">
        <v>1140</v>
      </c>
      <c r="C395" s="23" t="s">
        <v>1141</v>
      </c>
      <c r="D395" s="27">
        <v>109.66</v>
      </c>
      <c r="E395" s="27">
        <v>109.66</v>
      </c>
      <c r="F395" s="23">
        <v>1</v>
      </c>
      <c r="G395" s="27">
        <f>E395/F395</f>
        <v>109.66</v>
      </c>
      <c r="H395" s="59" t="s">
        <v>1879</v>
      </c>
      <c r="I395" s="23" t="s">
        <v>1988</v>
      </c>
      <c r="J395" s="23" t="s">
        <v>1989</v>
      </c>
      <c r="K395" s="23" t="s">
        <v>1990</v>
      </c>
      <c r="L395" s="44" t="s">
        <v>24</v>
      </c>
      <c r="M395" s="5">
        <f>COUNTIF($B$1:$B$1475, B395)</f>
        <v>11</v>
      </c>
      <c r="N395" s="5">
        <f>COUNTIF($H$2:$H$1465, H395)</f>
        <v>58</v>
      </c>
    </row>
    <row r="396" spans="1:14">
      <c r="A396" s="40" t="s">
        <v>1991</v>
      </c>
      <c r="B396" s="41" t="s">
        <v>1140</v>
      </c>
      <c r="C396" s="41" t="s">
        <v>1141</v>
      </c>
      <c r="D396" s="42">
        <v>109.66</v>
      </c>
      <c r="E396" s="42">
        <v>109.66</v>
      </c>
      <c r="F396" s="41">
        <v>1</v>
      </c>
      <c r="G396" s="42">
        <f>E396/F396</f>
        <v>109.66</v>
      </c>
      <c r="H396" s="58" t="s">
        <v>1879</v>
      </c>
      <c r="I396" s="41" t="s">
        <v>1992</v>
      </c>
      <c r="J396" s="41" t="s">
        <v>1993</v>
      </c>
      <c r="K396" s="41" t="s">
        <v>1994</v>
      </c>
      <c r="L396" s="43" t="s">
        <v>24</v>
      </c>
      <c r="M396" s="5">
        <f>COUNTIF($B$1:$B$1475, B396)</f>
        <v>11</v>
      </c>
      <c r="N396" s="5">
        <f>COUNTIF($H$2:$H$1465, H396)</f>
        <v>58</v>
      </c>
    </row>
    <row r="397" spans="1:14">
      <c r="A397" s="26" t="s">
        <v>1995</v>
      </c>
      <c r="B397" s="23" t="s">
        <v>1905</v>
      </c>
      <c r="C397" s="23" t="s">
        <v>1905</v>
      </c>
      <c r="D397" s="27">
        <v>98.69</v>
      </c>
      <c r="E397" s="27">
        <v>197.38</v>
      </c>
      <c r="F397" s="23">
        <v>2</v>
      </c>
      <c r="G397" s="27">
        <f>E397/F397</f>
        <v>98.69</v>
      </c>
      <c r="H397" s="59" t="s">
        <v>1879</v>
      </c>
      <c r="I397" s="23"/>
      <c r="J397" s="23" t="s">
        <v>1996</v>
      </c>
      <c r="K397" s="23"/>
      <c r="L397" s="44" t="s">
        <v>24</v>
      </c>
      <c r="M397" s="5">
        <f>COUNTIF($B$1:$B$1475, B397)</f>
        <v>5</v>
      </c>
      <c r="N397" s="5">
        <f>COUNTIF($H$2:$H$1465, H397)</f>
        <v>58</v>
      </c>
    </row>
    <row r="398" spans="1:14">
      <c r="A398" s="40" t="s">
        <v>1997</v>
      </c>
      <c r="B398" s="41" t="s">
        <v>1257</v>
      </c>
      <c r="C398" s="41" t="s">
        <v>1258</v>
      </c>
      <c r="D398" s="42">
        <v>82.24</v>
      </c>
      <c r="E398" s="42">
        <v>268.66000000000003</v>
      </c>
      <c r="F398" s="41">
        <v>6</v>
      </c>
      <c r="G398" s="42">
        <f>E398/F398</f>
        <v>44.776666666666671</v>
      </c>
      <c r="H398" s="58" t="s">
        <v>1879</v>
      </c>
      <c r="I398" s="41" t="s">
        <v>1998</v>
      </c>
      <c r="J398" s="41" t="s">
        <v>1999</v>
      </c>
      <c r="K398" s="41" t="s">
        <v>2000</v>
      </c>
      <c r="L398" s="43" t="s">
        <v>24</v>
      </c>
      <c r="M398" s="5">
        <f>COUNTIF($B$1:$B$1475, B398)</f>
        <v>2</v>
      </c>
      <c r="N398" s="5">
        <f>COUNTIF($H$2:$H$1465, H398)</f>
        <v>58</v>
      </c>
    </row>
    <row r="399" spans="1:14">
      <c r="A399" s="26" t="s">
        <v>2001</v>
      </c>
      <c r="B399" s="23" t="s">
        <v>2002</v>
      </c>
      <c r="C399" s="23" t="s">
        <v>2003</v>
      </c>
      <c r="D399" s="27">
        <v>65.790000000000006</v>
      </c>
      <c r="E399" s="27">
        <v>175.45</v>
      </c>
      <c r="F399" s="23">
        <v>3</v>
      </c>
      <c r="G399" s="27">
        <f>E399/F399</f>
        <v>58.483333333333327</v>
      </c>
      <c r="H399" s="59" t="s">
        <v>1879</v>
      </c>
      <c r="I399" s="23" t="s">
        <v>2004</v>
      </c>
      <c r="J399" s="23" t="s">
        <v>2005</v>
      </c>
      <c r="K399" s="23" t="s">
        <v>2006</v>
      </c>
      <c r="L399" s="44" t="s">
        <v>24</v>
      </c>
      <c r="M399" s="5">
        <f>COUNTIF($B$1:$B$1475, B399)</f>
        <v>1</v>
      </c>
      <c r="N399" s="5">
        <f>COUNTIF($H$2:$H$1465, H399)</f>
        <v>58</v>
      </c>
    </row>
    <row r="400" spans="1:14">
      <c r="A400" s="40" t="s">
        <v>2007</v>
      </c>
      <c r="B400" s="41" t="s">
        <v>26</v>
      </c>
      <c r="C400" s="41" t="s">
        <v>27</v>
      </c>
      <c r="D400" s="42">
        <v>71.28</v>
      </c>
      <c r="E400" s="42">
        <v>71.28</v>
      </c>
      <c r="F400" s="41">
        <v>1</v>
      </c>
      <c r="G400" s="42">
        <f>E400/F400</f>
        <v>71.28</v>
      </c>
      <c r="H400" s="58" t="s">
        <v>1879</v>
      </c>
      <c r="I400" s="41" t="s">
        <v>2008</v>
      </c>
      <c r="J400" s="41" t="s">
        <v>2009</v>
      </c>
      <c r="K400" s="41" t="s">
        <v>2010</v>
      </c>
      <c r="L400" s="43" t="s">
        <v>24</v>
      </c>
      <c r="M400" s="5">
        <f>COUNTIF($B$1:$B$1475, B400)</f>
        <v>12</v>
      </c>
      <c r="N400" s="5">
        <f>COUNTIF($H$2:$H$1465, H400)</f>
        <v>58</v>
      </c>
    </row>
    <row r="401" spans="1:14">
      <c r="A401" s="26" t="s">
        <v>2011</v>
      </c>
      <c r="B401" s="23" t="s">
        <v>498</v>
      </c>
      <c r="C401" s="23" t="s">
        <v>499</v>
      </c>
      <c r="D401" s="27">
        <v>137.07</v>
      </c>
      <c r="E401" s="27">
        <v>137.07</v>
      </c>
      <c r="F401" s="23">
        <v>1</v>
      </c>
      <c r="G401" s="27">
        <f>E401/F401</f>
        <v>137.07</v>
      </c>
      <c r="H401" s="59" t="s">
        <v>1879</v>
      </c>
      <c r="I401" s="23" t="s">
        <v>2012</v>
      </c>
      <c r="J401" s="23" t="s">
        <v>2013</v>
      </c>
      <c r="K401" s="23" t="s">
        <v>2014</v>
      </c>
      <c r="L401" s="44" t="s">
        <v>24</v>
      </c>
      <c r="M401" s="5">
        <f>COUNTIF($B$1:$B$1475, B401)</f>
        <v>2</v>
      </c>
      <c r="N401" s="5">
        <f>COUNTIF($H$2:$H$1465, H401)</f>
        <v>58</v>
      </c>
    </row>
    <row r="402" spans="1:14">
      <c r="A402" s="40" t="s">
        <v>2015</v>
      </c>
      <c r="B402" s="41" t="s">
        <v>117</v>
      </c>
      <c r="C402" s="41" t="s">
        <v>118</v>
      </c>
      <c r="D402" s="42">
        <v>115.14</v>
      </c>
      <c r="E402" s="42">
        <v>137.07</v>
      </c>
      <c r="F402" s="41">
        <v>2</v>
      </c>
      <c r="G402" s="42">
        <f>E402/F402</f>
        <v>68.534999999999997</v>
      </c>
      <c r="H402" s="58" t="s">
        <v>1879</v>
      </c>
      <c r="I402" s="41" t="s">
        <v>2016</v>
      </c>
      <c r="J402" s="41" t="s">
        <v>2017</v>
      </c>
      <c r="K402" s="41" t="s">
        <v>2018</v>
      </c>
      <c r="L402" s="43" t="s">
        <v>24</v>
      </c>
      <c r="M402" s="5">
        <f>COUNTIF($B$1:$B$1475, B402)</f>
        <v>23</v>
      </c>
      <c r="N402" s="5">
        <f>COUNTIF($H$2:$H$1465, H402)</f>
        <v>58</v>
      </c>
    </row>
    <row r="403" spans="1:14">
      <c r="A403" s="26" t="s">
        <v>2019</v>
      </c>
      <c r="B403" s="23" t="s">
        <v>2020</v>
      </c>
      <c r="C403" s="23" t="s">
        <v>2021</v>
      </c>
      <c r="D403" s="27">
        <v>115.14</v>
      </c>
      <c r="E403" s="27">
        <v>246.73</v>
      </c>
      <c r="F403" s="23">
        <v>60</v>
      </c>
      <c r="G403" s="27">
        <f>E403/F403</f>
        <v>4.1121666666666661</v>
      </c>
      <c r="H403" s="59" t="s">
        <v>1879</v>
      </c>
      <c r="I403" s="23" t="s">
        <v>2022</v>
      </c>
      <c r="J403" s="23" t="s">
        <v>2023</v>
      </c>
      <c r="K403" s="23" t="s">
        <v>2024</v>
      </c>
      <c r="L403" s="44" t="s">
        <v>301</v>
      </c>
      <c r="M403" s="5">
        <f>COUNTIF($B$1:$B$1475, B403)</f>
        <v>1</v>
      </c>
      <c r="N403" s="5">
        <f>COUNTIF($H$2:$H$1465, H403)</f>
        <v>58</v>
      </c>
    </row>
    <row r="404" spans="1:14">
      <c r="A404" s="40" t="s">
        <v>2025</v>
      </c>
      <c r="B404" s="41" t="s">
        <v>117</v>
      </c>
      <c r="C404" s="41" t="s">
        <v>118</v>
      </c>
      <c r="D404" s="42">
        <v>115.14</v>
      </c>
      <c r="E404" s="42">
        <v>137.07</v>
      </c>
      <c r="F404" s="41">
        <v>2</v>
      </c>
      <c r="G404" s="42">
        <f>E404/F404</f>
        <v>68.534999999999997</v>
      </c>
      <c r="H404" s="58" t="s">
        <v>1879</v>
      </c>
      <c r="I404" s="41" t="s">
        <v>2026</v>
      </c>
      <c r="J404" s="41" t="s">
        <v>2027</v>
      </c>
      <c r="K404" s="41" t="s">
        <v>2028</v>
      </c>
      <c r="L404" s="43" t="s">
        <v>24</v>
      </c>
      <c r="M404" s="5">
        <f>COUNTIF($B$1:$B$1475, B404)</f>
        <v>23</v>
      </c>
      <c r="N404" s="5">
        <f>COUNTIF($H$2:$H$1465, H404)</f>
        <v>58</v>
      </c>
    </row>
    <row r="405" spans="1:14">
      <c r="A405" s="26" t="s">
        <v>2029</v>
      </c>
      <c r="B405" s="23" t="s">
        <v>206</v>
      </c>
      <c r="C405" s="23" t="s">
        <v>58</v>
      </c>
      <c r="D405" s="27">
        <v>104.17</v>
      </c>
      <c r="E405" s="27">
        <v>126.11</v>
      </c>
      <c r="F405" s="23">
        <v>2</v>
      </c>
      <c r="G405" s="27">
        <f>E405/F405</f>
        <v>63.055</v>
      </c>
      <c r="H405" s="59" t="s">
        <v>1879</v>
      </c>
      <c r="I405" s="23" t="s">
        <v>2030</v>
      </c>
      <c r="J405" s="23" t="s">
        <v>2031</v>
      </c>
      <c r="K405" s="23" t="s">
        <v>2032</v>
      </c>
      <c r="L405" s="44" t="s">
        <v>24</v>
      </c>
      <c r="M405" s="5">
        <f>COUNTIF($B$1:$B$1475, B405)</f>
        <v>13</v>
      </c>
      <c r="N405" s="5">
        <f>COUNTIF($H$2:$H$1465, H405)</f>
        <v>58</v>
      </c>
    </row>
    <row r="406" spans="1:14">
      <c r="A406" s="40" t="s">
        <v>2033</v>
      </c>
      <c r="B406" s="41" t="s">
        <v>1937</v>
      </c>
      <c r="C406" s="41" t="s">
        <v>1938</v>
      </c>
      <c r="D406" s="42">
        <v>104.17</v>
      </c>
      <c r="E406" s="42">
        <v>191.9</v>
      </c>
      <c r="F406" s="41">
        <v>8</v>
      </c>
      <c r="G406" s="42">
        <f>E406/F406</f>
        <v>23.987500000000001</v>
      </c>
      <c r="H406" s="58" t="s">
        <v>1879</v>
      </c>
      <c r="I406" s="41" t="s">
        <v>2034</v>
      </c>
      <c r="J406" s="41" t="s">
        <v>2035</v>
      </c>
      <c r="K406" s="41" t="s">
        <v>2036</v>
      </c>
      <c r="L406" s="43" t="s">
        <v>301</v>
      </c>
      <c r="M406" s="5">
        <f>COUNTIF($B$1:$B$1475, B406)</f>
        <v>3</v>
      </c>
      <c r="N406" s="5">
        <f>COUNTIF($H$2:$H$1465, H406)</f>
        <v>58</v>
      </c>
    </row>
    <row r="407" spans="1:14">
      <c r="A407" s="26" t="s">
        <v>2037</v>
      </c>
      <c r="B407" s="23" t="s">
        <v>2038</v>
      </c>
      <c r="C407" s="23" t="s">
        <v>2039</v>
      </c>
      <c r="D407" s="27">
        <v>93.21</v>
      </c>
      <c r="E407" s="27">
        <v>131.59</v>
      </c>
      <c r="F407" s="23">
        <v>9</v>
      </c>
      <c r="G407" s="27">
        <f>E407/F407</f>
        <v>14.621111111111112</v>
      </c>
      <c r="H407" s="59" t="s">
        <v>1879</v>
      </c>
      <c r="I407" s="23" t="s">
        <v>2040</v>
      </c>
      <c r="J407" s="23" t="s">
        <v>2041</v>
      </c>
      <c r="K407" s="23" t="s">
        <v>2042</v>
      </c>
      <c r="L407" s="44" t="s">
        <v>301</v>
      </c>
      <c r="M407" s="5">
        <f>COUNTIF($B$1:$B$1475, B407)</f>
        <v>3</v>
      </c>
      <c r="N407" s="5">
        <f>COUNTIF($H$2:$H$1465, H407)</f>
        <v>58</v>
      </c>
    </row>
    <row r="408" spans="1:14">
      <c r="A408" s="40" t="s">
        <v>2043</v>
      </c>
      <c r="B408" s="41" t="s">
        <v>2044</v>
      </c>
      <c r="C408" s="41" t="s">
        <v>2045</v>
      </c>
      <c r="D408" s="42">
        <v>87.73</v>
      </c>
      <c r="E408" s="42">
        <v>98.69</v>
      </c>
      <c r="F408" s="41">
        <v>2</v>
      </c>
      <c r="G408" s="42">
        <f>E408/F408</f>
        <v>49.344999999999999</v>
      </c>
      <c r="H408" s="58" t="s">
        <v>1879</v>
      </c>
      <c r="I408" s="41" t="s">
        <v>2046</v>
      </c>
      <c r="J408" s="41" t="s">
        <v>2047</v>
      </c>
      <c r="K408" s="41" t="s">
        <v>2048</v>
      </c>
      <c r="L408" s="43" t="s">
        <v>24</v>
      </c>
      <c r="M408" s="5">
        <f>COUNTIF($B$1:$B$1475, B408)</f>
        <v>2</v>
      </c>
      <c r="N408" s="5">
        <f>COUNTIF($H$2:$H$1465, H408)</f>
        <v>58</v>
      </c>
    </row>
    <row r="409" spans="1:14">
      <c r="A409" s="26" t="s">
        <v>2049</v>
      </c>
      <c r="B409" s="23" t="s">
        <v>2050</v>
      </c>
      <c r="C409" s="23" t="s">
        <v>2051</v>
      </c>
      <c r="D409" s="27">
        <v>115.14</v>
      </c>
      <c r="E409" s="27">
        <v>115.14</v>
      </c>
      <c r="F409" s="23">
        <v>1</v>
      </c>
      <c r="G409" s="27">
        <f>E409/F409</f>
        <v>115.14</v>
      </c>
      <c r="H409" s="59" t="s">
        <v>1879</v>
      </c>
      <c r="I409" s="23" t="s">
        <v>2052</v>
      </c>
      <c r="J409" s="23" t="s">
        <v>2053</v>
      </c>
      <c r="K409" s="23" t="s">
        <v>2054</v>
      </c>
      <c r="L409" s="44" t="s">
        <v>24</v>
      </c>
      <c r="M409" s="5">
        <f>COUNTIF($B$1:$B$1475, B409)</f>
        <v>2</v>
      </c>
      <c r="N409" s="5">
        <f>COUNTIF($H$2:$H$1465, H409)</f>
        <v>58</v>
      </c>
    </row>
    <row r="410" spans="1:14">
      <c r="A410" s="40" t="s">
        <v>2055</v>
      </c>
      <c r="B410" s="41" t="s">
        <v>65</v>
      </c>
      <c r="C410" s="41" t="s">
        <v>58</v>
      </c>
      <c r="D410" s="42">
        <v>93.21</v>
      </c>
      <c r="E410" s="42">
        <v>104.17</v>
      </c>
      <c r="F410" s="41">
        <v>2</v>
      </c>
      <c r="G410" s="42">
        <f>E410/F410</f>
        <v>52.085000000000001</v>
      </c>
      <c r="H410" s="58" t="s">
        <v>1879</v>
      </c>
      <c r="I410" s="41" t="s">
        <v>2056</v>
      </c>
      <c r="J410" s="41" t="s">
        <v>2057</v>
      </c>
      <c r="K410" s="41" t="s">
        <v>2058</v>
      </c>
      <c r="L410" s="43" t="s">
        <v>24</v>
      </c>
      <c r="M410" s="5">
        <f>COUNTIF($B$1:$B$1475, B410)</f>
        <v>35</v>
      </c>
      <c r="N410" s="5">
        <f>COUNTIF($H$2:$H$1465, H410)</f>
        <v>58</v>
      </c>
    </row>
    <row r="411" spans="1:14">
      <c r="A411" s="26" t="s">
        <v>2059</v>
      </c>
      <c r="B411" s="23" t="s">
        <v>1023</v>
      </c>
      <c r="C411" s="23" t="s">
        <v>1024</v>
      </c>
      <c r="D411" s="27">
        <v>76.760000000000005</v>
      </c>
      <c r="E411" s="27">
        <v>76.760000000000005</v>
      </c>
      <c r="F411" s="23">
        <v>1</v>
      </c>
      <c r="G411" s="27">
        <f>E411/F411</f>
        <v>76.760000000000005</v>
      </c>
      <c r="H411" s="59" t="s">
        <v>1879</v>
      </c>
      <c r="I411" s="23" t="s">
        <v>2060</v>
      </c>
      <c r="J411" s="23" t="s">
        <v>2061</v>
      </c>
      <c r="K411" s="23" t="s">
        <v>2062</v>
      </c>
      <c r="L411" s="44" t="s">
        <v>24</v>
      </c>
      <c r="M411" s="5">
        <f>COUNTIF($B$1:$B$1475, B411)</f>
        <v>7</v>
      </c>
      <c r="N411" s="5">
        <f>COUNTIF($H$2:$H$1465, H411)</f>
        <v>58</v>
      </c>
    </row>
    <row r="412" spans="1:14">
      <c r="A412" s="40" t="s">
        <v>2063</v>
      </c>
      <c r="B412" s="41" t="s">
        <v>65</v>
      </c>
      <c r="C412" s="41" t="s">
        <v>58</v>
      </c>
      <c r="D412" s="42">
        <v>93.21</v>
      </c>
      <c r="E412" s="42">
        <v>104.17</v>
      </c>
      <c r="F412" s="41">
        <v>2</v>
      </c>
      <c r="G412" s="42">
        <f>E412/F412</f>
        <v>52.085000000000001</v>
      </c>
      <c r="H412" s="58" t="s">
        <v>1879</v>
      </c>
      <c r="I412" s="41" t="s">
        <v>2064</v>
      </c>
      <c r="J412" s="41" t="s">
        <v>2065</v>
      </c>
      <c r="K412" s="41" t="s">
        <v>1917</v>
      </c>
      <c r="L412" s="43" t="s">
        <v>24</v>
      </c>
      <c r="M412" s="5">
        <f>COUNTIF($B$1:$B$1475, B412)</f>
        <v>35</v>
      </c>
      <c r="N412" s="5">
        <f>COUNTIF($H$2:$H$1465, H412)</f>
        <v>58</v>
      </c>
    </row>
    <row r="413" spans="1:14">
      <c r="A413" s="26" t="s">
        <v>2066</v>
      </c>
      <c r="B413" s="23" t="s">
        <v>65</v>
      </c>
      <c r="C413" s="23" t="s">
        <v>58</v>
      </c>
      <c r="D413" s="27">
        <v>93.21</v>
      </c>
      <c r="E413" s="27">
        <v>104.17</v>
      </c>
      <c r="F413" s="23">
        <v>2</v>
      </c>
      <c r="G413" s="27">
        <f>E413/F413</f>
        <v>52.085000000000001</v>
      </c>
      <c r="H413" s="59" t="s">
        <v>1879</v>
      </c>
      <c r="I413" s="23" t="s">
        <v>2067</v>
      </c>
      <c r="J413" s="23" t="s">
        <v>2068</v>
      </c>
      <c r="K413" s="23" t="s">
        <v>1886</v>
      </c>
      <c r="L413" s="44" t="s">
        <v>24</v>
      </c>
      <c r="M413" s="5">
        <f>COUNTIF($B$1:$B$1475, B413)</f>
        <v>35</v>
      </c>
      <c r="N413" s="5">
        <f>COUNTIF($H$2:$H$1465, H413)</f>
        <v>58</v>
      </c>
    </row>
    <row r="414" spans="1:14">
      <c r="A414" s="40" t="s">
        <v>2069</v>
      </c>
      <c r="B414" s="41" t="s">
        <v>2070</v>
      </c>
      <c r="C414" s="41" t="s">
        <v>2071</v>
      </c>
      <c r="D414" s="42">
        <v>164.49</v>
      </c>
      <c r="E414" s="42">
        <v>1644.85</v>
      </c>
      <c r="F414" s="41">
        <v>12</v>
      </c>
      <c r="G414" s="42">
        <f>E414/F414</f>
        <v>137.07083333333333</v>
      </c>
      <c r="H414" s="58" t="s">
        <v>1879</v>
      </c>
      <c r="I414" s="41" t="s">
        <v>2072</v>
      </c>
      <c r="J414" s="41" t="s">
        <v>2073</v>
      </c>
      <c r="K414" s="41" t="s">
        <v>2074</v>
      </c>
      <c r="L414" s="43" t="s">
        <v>24</v>
      </c>
      <c r="M414" s="5">
        <f>COUNTIF($B$1:$B$1475, B414)</f>
        <v>1</v>
      </c>
      <c r="N414" s="5">
        <f>COUNTIF($H$2:$H$1465, H414)</f>
        <v>58</v>
      </c>
    </row>
    <row r="415" spans="1:14">
      <c r="A415" s="26" t="s">
        <v>2075</v>
      </c>
      <c r="B415" s="23" t="s">
        <v>117</v>
      </c>
      <c r="C415" s="23" t="s">
        <v>118</v>
      </c>
      <c r="D415" s="27">
        <v>115.14</v>
      </c>
      <c r="E415" s="27">
        <v>137.07</v>
      </c>
      <c r="F415" s="23">
        <v>2</v>
      </c>
      <c r="G415" s="27">
        <f>E415/F415</f>
        <v>68.534999999999997</v>
      </c>
      <c r="H415" s="59" t="s">
        <v>1879</v>
      </c>
      <c r="I415" s="23" t="s">
        <v>2076</v>
      </c>
      <c r="J415" s="23" t="s">
        <v>2077</v>
      </c>
      <c r="K415" s="23" t="s">
        <v>2078</v>
      </c>
      <c r="L415" s="44" t="s">
        <v>24</v>
      </c>
      <c r="M415" s="5">
        <f>COUNTIF($B$1:$B$1475, B415)</f>
        <v>23</v>
      </c>
      <c r="N415" s="5">
        <f>COUNTIF($H$2:$H$1465, H415)</f>
        <v>58</v>
      </c>
    </row>
    <row r="416" spans="1:14">
      <c r="A416" s="40" t="s">
        <v>2079</v>
      </c>
      <c r="B416" s="41" t="s">
        <v>2080</v>
      </c>
      <c r="C416" s="41" t="s">
        <v>2081</v>
      </c>
      <c r="D416" s="42">
        <v>109.66</v>
      </c>
      <c r="E416" s="42">
        <v>1096.57</v>
      </c>
      <c r="F416" s="41">
        <v>10</v>
      </c>
      <c r="G416" s="42">
        <f>E416/F416</f>
        <v>109.657</v>
      </c>
      <c r="H416" s="58" t="s">
        <v>1879</v>
      </c>
      <c r="I416" s="41" t="s">
        <v>2082</v>
      </c>
      <c r="J416" s="41" t="s">
        <v>2083</v>
      </c>
      <c r="K416" s="41" t="s">
        <v>2084</v>
      </c>
      <c r="L416" s="43" t="s">
        <v>24</v>
      </c>
      <c r="M416" s="5">
        <f>COUNTIF($B$1:$B$1475, B416)</f>
        <v>1</v>
      </c>
      <c r="N416" s="5">
        <f>COUNTIF($H$2:$H$1465, H416)</f>
        <v>58</v>
      </c>
    </row>
    <row r="417" spans="1:14">
      <c r="A417" s="26" t="s">
        <v>2085</v>
      </c>
      <c r="B417" s="23" t="s">
        <v>1023</v>
      </c>
      <c r="C417" s="23" t="s">
        <v>1024</v>
      </c>
      <c r="D417" s="27">
        <v>82.24</v>
      </c>
      <c r="E417" s="27">
        <v>82.24</v>
      </c>
      <c r="F417" s="23">
        <v>1</v>
      </c>
      <c r="G417" s="27">
        <f>E417/F417</f>
        <v>82.24</v>
      </c>
      <c r="H417" s="59" t="s">
        <v>1879</v>
      </c>
      <c r="I417" s="23" t="s">
        <v>2086</v>
      </c>
      <c r="J417" s="23" t="s">
        <v>2087</v>
      </c>
      <c r="K417" s="23" t="s">
        <v>2088</v>
      </c>
      <c r="L417" s="44" t="s">
        <v>24</v>
      </c>
      <c r="M417" s="5">
        <f>COUNTIF($B$1:$B$1475, B417)</f>
        <v>7</v>
      </c>
      <c r="N417" s="5">
        <f>COUNTIF($H$2:$H$1465, H417)</f>
        <v>58</v>
      </c>
    </row>
    <row r="418" spans="1:14">
      <c r="A418" s="40" t="s">
        <v>2089</v>
      </c>
      <c r="B418" s="41" t="s">
        <v>1023</v>
      </c>
      <c r="C418" s="41" t="s">
        <v>1024</v>
      </c>
      <c r="D418" s="42">
        <v>82.24</v>
      </c>
      <c r="E418" s="42">
        <v>82.24</v>
      </c>
      <c r="F418" s="41">
        <v>1</v>
      </c>
      <c r="G418" s="42">
        <f>E418/F418</f>
        <v>82.24</v>
      </c>
      <c r="H418" s="58" t="s">
        <v>1879</v>
      </c>
      <c r="I418" s="41" t="s">
        <v>2090</v>
      </c>
      <c r="J418" s="41" t="s">
        <v>2091</v>
      </c>
      <c r="K418" s="41" t="s">
        <v>2092</v>
      </c>
      <c r="L418" s="43" t="s">
        <v>24</v>
      </c>
      <c r="M418" s="5">
        <f>COUNTIF($B$1:$B$1475, B418)</f>
        <v>7</v>
      </c>
      <c r="N418" s="5">
        <f>COUNTIF($H$2:$H$1465, H418)</f>
        <v>58</v>
      </c>
    </row>
    <row r="419" spans="1:14">
      <c r="A419" s="26" t="s">
        <v>2093</v>
      </c>
      <c r="B419" s="23" t="s">
        <v>206</v>
      </c>
      <c r="C419" s="23" t="s">
        <v>58</v>
      </c>
      <c r="D419" s="27">
        <v>104.17</v>
      </c>
      <c r="E419" s="27">
        <v>126.11</v>
      </c>
      <c r="F419" s="23">
        <v>2</v>
      </c>
      <c r="G419" s="27">
        <f>E419/F419</f>
        <v>63.055</v>
      </c>
      <c r="H419" s="59" t="s">
        <v>1879</v>
      </c>
      <c r="I419" s="23" t="s">
        <v>2094</v>
      </c>
      <c r="J419" s="23" t="s">
        <v>2095</v>
      </c>
      <c r="K419" s="23" t="s">
        <v>2096</v>
      </c>
      <c r="L419" s="44" t="s">
        <v>24</v>
      </c>
      <c r="M419" s="5">
        <f>COUNTIF($B$1:$B$1475, B419)</f>
        <v>13</v>
      </c>
      <c r="N419" s="5">
        <f>COUNTIF($H$2:$H$1465, H419)</f>
        <v>58</v>
      </c>
    </row>
    <row r="420" spans="1:14">
      <c r="A420" s="40" t="s">
        <v>2097</v>
      </c>
      <c r="B420" s="41" t="s">
        <v>2038</v>
      </c>
      <c r="C420" s="41" t="s">
        <v>2039</v>
      </c>
      <c r="D420" s="42">
        <v>93.21</v>
      </c>
      <c r="E420" s="42">
        <v>104.17</v>
      </c>
      <c r="F420" s="41">
        <v>2</v>
      </c>
      <c r="G420" s="42">
        <f>E420/F420</f>
        <v>52.085000000000001</v>
      </c>
      <c r="H420" s="58" t="s">
        <v>1879</v>
      </c>
      <c r="I420" s="41" t="s">
        <v>2098</v>
      </c>
      <c r="J420" s="41" t="s">
        <v>2099</v>
      </c>
      <c r="K420" s="41" t="s">
        <v>2100</v>
      </c>
      <c r="L420" s="43" t="s">
        <v>24</v>
      </c>
      <c r="M420" s="5">
        <f>COUNTIF($B$1:$B$1475, B420)</f>
        <v>3</v>
      </c>
      <c r="N420" s="5">
        <f>COUNTIF($H$2:$H$1465, H420)</f>
        <v>58</v>
      </c>
    </row>
    <row r="421" spans="1:14">
      <c r="A421" s="26" t="s">
        <v>2101</v>
      </c>
      <c r="B421" s="23" t="s">
        <v>220</v>
      </c>
      <c r="C421" s="23" t="s">
        <v>221</v>
      </c>
      <c r="D421" s="27">
        <v>131.59</v>
      </c>
      <c r="E421" s="27">
        <v>131.59</v>
      </c>
      <c r="F421" s="23">
        <v>2</v>
      </c>
      <c r="G421" s="27">
        <f>E421/F421</f>
        <v>65.795000000000002</v>
      </c>
      <c r="H421" s="59" t="s">
        <v>1879</v>
      </c>
      <c r="I421" s="23" t="s">
        <v>2102</v>
      </c>
      <c r="J421" s="23" t="s">
        <v>2103</v>
      </c>
      <c r="K421" s="23" t="s">
        <v>2104</v>
      </c>
      <c r="L421" s="44" t="s">
        <v>24</v>
      </c>
      <c r="M421" s="5">
        <f>COUNTIF($B$1:$B$1475, B421)</f>
        <v>7</v>
      </c>
      <c r="N421" s="5">
        <f>COUNTIF($H$2:$H$1465, H421)</f>
        <v>58</v>
      </c>
    </row>
    <row r="422" spans="1:14">
      <c r="A422" s="40" t="s">
        <v>2105</v>
      </c>
      <c r="B422" s="41" t="s">
        <v>2050</v>
      </c>
      <c r="C422" s="41" t="s">
        <v>2051</v>
      </c>
      <c r="D422" s="42">
        <v>126.11</v>
      </c>
      <c r="E422" s="42">
        <v>126.11</v>
      </c>
      <c r="F422" s="41">
        <v>1</v>
      </c>
      <c r="G422" s="42">
        <f>E422/F422</f>
        <v>126.11</v>
      </c>
      <c r="H422" s="58" t="s">
        <v>1879</v>
      </c>
      <c r="I422" s="41" t="s">
        <v>2106</v>
      </c>
      <c r="J422" s="41" t="s">
        <v>2107</v>
      </c>
      <c r="K422" s="41" t="s">
        <v>2108</v>
      </c>
      <c r="L422" s="43" t="s">
        <v>24</v>
      </c>
      <c r="M422" s="5">
        <f>COUNTIF($B$1:$B$1475, B422)</f>
        <v>2</v>
      </c>
      <c r="N422" s="5">
        <f>COUNTIF($H$2:$H$1465, H422)</f>
        <v>58</v>
      </c>
    </row>
    <row r="423" spans="1:14">
      <c r="A423" s="26" t="s">
        <v>2109</v>
      </c>
      <c r="B423" s="23" t="s">
        <v>117</v>
      </c>
      <c r="C423" s="23" t="s">
        <v>118</v>
      </c>
      <c r="D423" s="27">
        <v>115.14</v>
      </c>
      <c r="E423" s="27">
        <v>137.07</v>
      </c>
      <c r="F423" s="23">
        <v>2</v>
      </c>
      <c r="G423" s="27">
        <f>E423/F423</f>
        <v>68.534999999999997</v>
      </c>
      <c r="H423" s="59" t="s">
        <v>1879</v>
      </c>
      <c r="I423" s="23" t="s">
        <v>2110</v>
      </c>
      <c r="J423" s="23" t="s">
        <v>2111</v>
      </c>
      <c r="K423" s="23" t="s">
        <v>2112</v>
      </c>
      <c r="L423" s="44" t="s">
        <v>24</v>
      </c>
      <c r="M423" s="5">
        <f>COUNTIF($B$1:$B$1475, B423)</f>
        <v>23</v>
      </c>
      <c r="N423" s="5">
        <f>COUNTIF($H$2:$H$1465, H423)</f>
        <v>58</v>
      </c>
    </row>
    <row r="424" spans="1:14">
      <c r="A424" s="40" t="s">
        <v>2113</v>
      </c>
      <c r="B424" s="41" t="s">
        <v>1023</v>
      </c>
      <c r="C424" s="41" t="s">
        <v>1024</v>
      </c>
      <c r="D424" s="42">
        <v>82.24</v>
      </c>
      <c r="E424" s="42">
        <v>82.24</v>
      </c>
      <c r="F424" s="41">
        <v>1</v>
      </c>
      <c r="G424" s="42">
        <f>E424/F424</f>
        <v>82.24</v>
      </c>
      <c r="H424" s="58" t="s">
        <v>1879</v>
      </c>
      <c r="I424" s="41" t="s">
        <v>2114</v>
      </c>
      <c r="J424" s="41" t="s">
        <v>2115</v>
      </c>
      <c r="K424" s="41" t="s">
        <v>2116</v>
      </c>
      <c r="L424" s="43" t="s">
        <v>24</v>
      </c>
      <c r="M424" s="5">
        <f>COUNTIF($B$1:$B$1475, B424)</f>
        <v>7</v>
      </c>
      <c r="N424" s="5">
        <f>COUNTIF($H$2:$H$1465, H424)</f>
        <v>58</v>
      </c>
    </row>
    <row r="425" spans="1:14">
      <c r="A425" s="26" t="s">
        <v>2117</v>
      </c>
      <c r="B425" s="23" t="s">
        <v>117</v>
      </c>
      <c r="C425" s="23" t="s">
        <v>118</v>
      </c>
      <c r="D425" s="27">
        <v>115.14</v>
      </c>
      <c r="E425" s="27">
        <v>137.07</v>
      </c>
      <c r="F425" s="23">
        <v>2</v>
      </c>
      <c r="G425" s="27">
        <f>E425/F425</f>
        <v>68.534999999999997</v>
      </c>
      <c r="H425" s="59" t="s">
        <v>1879</v>
      </c>
      <c r="I425" s="23" t="s">
        <v>2118</v>
      </c>
      <c r="J425" s="23" t="s">
        <v>2119</v>
      </c>
      <c r="K425" s="23" t="s">
        <v>2120</v>
      </c>
      <c r="L425" s="44" t="s">
        <v>24</v>
      </c>
      <c r="M425" s="5">
        <f>COUNTIF($B$1:$B$1475, B425)</f>
        <v>23</v>
      </c>
      <c r="N425" s="5">
        <f>COUNTIF($H$2:$H$1465, H425)</f>
        <v>58</v>
      </c>
    </row>
    <row r="426" spans="1:14">
      <c r="A426" s="40" t="s">
        <v>2121</v>
      </c>
      <c r="B426" s="41" t="s">
        <v>2122</v>
      </c>
      <c r="C426" s="41" t="s">
        <v>2123</v>
      </c>
      <c r="D426" s="42">
        <v>109.66</v>
      </c>
      <c r="E426" s="42">
        <v>109.66</v>
      </c>
      <c r="F426" s="41">
        <v>2</v>
      </c>
      <c r="G426" s="42">
        <f>E426/F426</f>
        <v>54.83</v>
      </c>
      <c r="H426" s="58" t="s">
        <v>1879</v>
      </c>
      <c r="I426" s="41" t="s">
        <v>2124</v>
      </c>
      <c r="J426" s="41" t="s">
        <v>2125</v>
      </c>
      <c r="K426" s="41" t="s">
        <v>2126</v>
      </c>
      <c r="L426" s="43" t="s">
        <v>24</v>
      </c>
      <c r="M426" s="5">
        <f>COUNTIF($B$1:$B$1475, B426)</f>
        <v>1</v>
      </c>
      <c r="N426" s="5">
        <f>COUNTIF($H$2:$H$1465, H426)</f>
        <v>58</v>
      </c>
    </row>
    <row r="427" spans="1:14">
      <c r="A427" s="26" t="s">
        <v>2127</v>
      </c>
      <c r="B427" s="23" t="s">
        <v>1029</v>
      </c>
      <c r="C427" s="23" t="s">
        <v>1029</v>
      </c>
      <c r="D427" s="27">
        <v>115.14</v>
      </c>
      <c r="E427" s="27">
        <v>115.14</v>
      </c>
      <c r="F427" s="23">
        <v>2</v>
      </c>
      <c r="G427" s="27">
        <f>E427/F427</f>
        <v>57.57</v>
      </c>
      <c r="H427" s="59" t="s">
        <v>2128</v>
      </c>
      <c r="I427" s="23" t="s">
        <v>2129</v>
      </c>
      <c r="J427" s="23" t="s">
        <v>2130</v>
      </c>
      <c r="K427" s="23" t="s">
        <v>2131</v>
      </c>
      <c r="L427" s="44" t="s">
        <v>24</v>
      </c>
      <c r="M427" s="5">
        <f>COUNTIF($B$1:$B$1475, B427)</f>
        <v>8</v>
      </c>
      <c r="N427" s="5">
        <f>COUNTIF($H$2:$H$1465, H427)</f>
        <v>70</v>
      </c>
    </row>
    <row r="428" spans="1:14">
      <c r="A428" s="40" t="s">
        <v>2132</v>
      </c>
      <c r="B428" s="41" t="s">
        <v>65</v>
      </c>
      <c r="C428" s="41" t="s">
        <v>58</v>
      </c>
      <c r="D428" s="42">
        <v>93.21</v>
      </c>
      <c r="E428" s="42">
        <v>104.17</v>
      </c>
      <c r="F428" s="41">
        <v>2</v>
      </c>
      <c r="G428" s="42">
        <f>E428/F428</f>
        <v>52.085000000000001</v>
      </c>
      <c r="H428" s="58" t="s">
        <v>2128</v>
      </c>
      <c r="I428" s="41" t="s">
        <v>2133</v>
      </c>
      <c r="J428" s="41" t="s">
        <v>2134</v>
      </c>
      <c r="K428" s="41" t="s">
        <v>2135</v>
      </c>
      <c r="L428" s="43" t="s">
        <v>24</v>
      </c>
      <c r="M428" s="5">
        <f>COUNTIF($B$1:$B$1475, B428)</f>
        <v>35</v>
      </c>
      <c r="N428" s="5">
        <f>COUNTIF($H$2:$H$1465, H428)</f>
        <v>70</v>
      </c>
    </row>
    <row r="429" spans="1:14">
      <c r="A429" s="26" t="s">
        <v>2136</v>
      </c>
      <c r="B429" s="23" t="s">
        <v>117</v>
      </c>
      <c r="C429" s="23" t="s">
        <v>118</v>
      </c>
      <c r="D429" s="27">
        <v>115.14</v>
      </c>
      <c r="E429" s="27">
        <v>137.07</v>
      </c>
      <c r="F429" s="23">
        <v>2</v>
      </c>
      <c r="G429" s="27">
        <f>E429/F429</f>
        <v>68.534999999999997</v>
      </c>
      <c r="H429" s="59" t="s">
        <v>2128</v>
      </c>
      <c r="I429" s="23" t="s">
        <v>2137</v>
      </c>
      <c r="J429" s="23" t="s">
        <v>2138</v>
      </c>
      <c r="K429" s="23" t="s">
        <v>2139</v>
      </c>
      <c r="L429" s="44" t="s">
        <v>24</v>
      </c>
      <c r="M429" s="5">
        <f>COUNTIF($B$1:$B$1475, B429)</f>
        <v>23</v>
      </c>
      <c r="N429" s="5">
        <f>COUNTIF($H$2:$H$1465, H429)</f>
        <v>70</v>
      </c>
    </row>
    <row r="430" spans="1:14">
      <c r="A430" s="40" t="s">
        <v>2140</v>
      </c>
      <c r="B430" s="41" t="s">
        <v>33</v>
      </c>
      <c r="C430" s="41" t="s">
        <v>34</v>
      </c>
      <c r="D430" s="42">
        <v>82.24</v>
      </c>
      <c r="E430" s="42">
        <v>82.24</v>
      </c>
      <c r="F430" s="41">
        <v>1</v>
      </c>
      <c r="G430" s="42">
        <f>E430/F430</f>
        <v>82.24</v>
      </c>
      <c r="H430" s="58" t="s">
        <v>2128</v>
      </c>
      <c r="I430" s="41" t="s">
        <v>2141</v>
      </c>
      <c r="J430" s="41" t="s">
        <v>2142</v>
      </c>
      <c r="K430" s="41" t="s">
        <v>2143</v>
      </c>
      <c r="L430" s="43" t="s">
        <v>24</v>
      </c>
      <c r="M430" s="5">
        <f>COUNTIF($B$1:$B$1475, B430)</f>
        <v>9</v>
      </c>
      <c r="N430" s="5">
        <f>COUNTIF($H$2:$H$1465, H430)</f>
        <v>70</v>
      </c>
    </row>
    <row r="431" spans="1:14">
      <c r="A431" s="26" t="s">
        <v>2144</v>
      </c>
      <c r="B431" s="23" t="s">
        <v>40</v>
      </c>
      <c r="C431" s="23" t="s">
        <v>41</v>
      </c>
      <c r="D431" s="27">
        <v>93.21</v>
      </c>
      <c r="E431" s="27">
        <v>93.21</v>
      </c>
      <c r="F431" s="23">
        <v>1</v>
      </c>
      <c r="G431" s="27">
        <f>E431/F431</f>
        <v>93.21</v>
      </c>
      <c r="H431" s="59" t="s">
        <v>2128</v>
      </c>
      <c r="I431" s="23" t="s">
        <v>2145</v>
      </c>
      <c r="J431" s="23" t="s">
        <v>2146</v>
      </c>
      <c r="K431" s="23" t="s">
        <v>2147</v>
      </c>
      <c r="L431" s="44" t="s">
        <v>24</v>
      </c>
      <c r="M431" s="5">
        <f>COUNTIF($B$1:$B$1475, B431)</f>
        <v>7</v>
      </c>
      <c r="N431" s="5">
        <f>COUNTIF($H$2:$H$1465, H431)</f>
        <v>70</v>
      </c>
    </row>
    <row r="432" spans="1:14">
      <c r="A432" s="40" t="s">
        <v>2148</v>
      </c>
      <c r="B432" s="41" t="s">
        <v>40</v>
      </c>
      <c r="C432" s="41" t="s">
        <v>41</v>
      </c>
      <c r="D432" s="42">
        <v>93.21</v>
      </c>
      <c r="E432" s="42">
        <v>104.17</v>
      </c>
      <c r="F432" s="41">
        <v>2</v>
      </c>
      <c r="G432" s="42">
        <f>E432/F432</f>
        <v>52.085000000000001</v>
      </c>
      <c r="H432" s="58" t="s">
        <v>2128</v>
      </c>
      <c r="I432" s="41" t="s">
        <v>2149</v>
      </c>
      <c r="J432" s="41" t="s">
        <v>2150</v>
      </c>
      <c r="K432" s="41" t="s">
        <v>2151</v>
      </c>
      <c r="L432" s="43" t="s">
        <v>24</v>
      </c>
      <c r="M432" s="5">
        <f>COUNTIF($B$1:$B$1475, B432)</f>
        <v>7</v>
      </c>
      <c r="N432" s="5">
        <f>COUNTIF($H$2:$H$1465, H432)</f>
        <v>70</v>
      </c>
    </row>
    <row r="433" spans="1:14">
      <c r="A433" s="26" t="s">
        <v>2152</v>
      </c>
      <c r="B433" s="23" t="s">
        <v>65</v>
      </c>
      <c r="C433" s="23" t="s">
        <v>58</v>
      </c>
      <c r="D433" s="27">
        <v>93.21</v>
      </c>
      <c r="E433" s="27">
        <v>104.17</v>
      </c>
      <c r="F433" s="23">
        <v>2</v>
      </c>
      <c r="G433" s="27">
        <f>E433/F433</f>
        <v>52.085000000000001</v>
      </c>
      <c r="H433" s="59" t="s">
        <v>2128</v>
      </c>
      <c r="I433" s="23" t="s">
        <v>2153</v>
      </c>
      <c r="J433" s="23" t="s">
        <v>2154</v>
      </c>
      <c r="K433" s="23" t="s">
        <v>1917</v>
      </c>
      <c r="L433" s="44" t="s">
        <v>24</v>
      </c>
      <c r="M433" s="5">
        <f>COUNTIF($B$1:$B$1475, B433)</f>
        <v>35</v>
      </c>
      <c r="N433" s="5">
        <f>COUNTIF($H$2:$H$1465, H433)</f>
        <v>70</v>
      </c>
    </row>
    <row r="434" spans="1:14">
      <c r="A434" s="40" t="s">
        <v>2155</v>
      </c>
      <c r="B434" s="41" t="s">
        <v>293</v>
      </c>
      <c r="C434" s="41" t="s">
        <v>2156</v>
      </c>
      <c r="D434" s="42">
        <v>493.46</v>
      </c>
      <c r="E434" s="42">
        <v>3070.39</v>
      </c>
      <c r="F434" s="41">
        <v>35</v>
      </c>
      <c r="G434" s="42">
        <f>E434/F434</f>
        <v>87.725428571428566</v>
      </c>
      <c r="H434" s="58" t="s">
        <v>2128</v>
      </c>
      <c r="I434" s="41" t="s">
        <v>2157</v>
      </c>
      <c r="J434" s="41" t="s">
        <v>2158</v>
      </c>
      <c r="K434" s="41" t="s">
        <v>2159</v>
      </c>
      <c r="L434" s="43" t="s">
        <v>301</v>
      </c>
      <c r="M434" s="5">
        <f>COUNTIF($B$1:$B$1475, B434)</f>
        <v>2</v>
      </c>
      <c r="N434" s="5">
        <f>COUNTIF($H$2:$H$1465, H434)</f>
        <v>70</v>
      </c>
    </row>
    <row r="435" spans="1:14">
      <c r="A435" s="26" t="s">
        <v>2160</v>
      </c>
      <c r="B435" s="23" t="s">
        <v>284</v>
      </c>
      <c r="C435" s="23" t="s">
        <v>2161</v>
      </c>
      <c r="D435" s="27">
        <v>164.49</v>
      </c>
      <c r="E435" s="27">
        <v>1727.1</v>
      </c>
      <c r="F435" s="23">
        <v>14</v>
      </c>
      <c r="G435" s="27">
        <f>E435/F435</f>
        <v>123.36428571428571</v>
      </c>
      <c r="H435" s="59" t="s">
        <v>2128</v>
      </c>
      <c r="I435" s="23" t="s">
        <v>2162</v>
      </c>
      <c r="J435" s="23" t="s">
        <v>2163</v>
      </c>
      <c r="K435" s="23" t="s">
        <v>2164</v>
      </c>
      <c r="L435" s="44" t="s">
        <v>24</v>
      </c>
      <c r="M435" s="5">
        <f>COUNTIF($B$1:$B$1475, B435)</f>
        <v>2</v>
      </c>
      <c r="N435" s="5">
        <f>COUNTIF($H$2:$H$1465, H435)</f>
        <v>70</v>
      </c>
    </row>
    <row r="436" spans="1:14">
      <c r="A436" s="40" t="s">
        <v>2165</v>
      </c>
      <c r="B436" s="41" t="s">
        <v>1140</v>
      </c>
      <c r="C436" s="41" t="s">
        <v>1141</v>
      </c>
      <c r="D436" s="42">
        <v>137.07</v>
      </c>
      <c r="E436" s="42">
        <v>137.07</v>
      </c>
      <c r="F436" s="41">
        <v>1</v>
      </c>
      <c r="G436" s="42">
        <f>E436/F436</f>
        <v>137.07</v>
      </c>
      <c r="H436" s="58" t="s">
        <v>2128</v>
      </c>
      <c r="I436" s="41" t="s">
        <v>2166</v>
      </c>
      <c r="J436" s="41" t="s">
        <v>2167</v>
      </c>
      <c r="K436" s="41" t="s">
        <v>2168</v>
      </c>
      <c r="L436" s="43" t="s">
        <v>24</v>
      </c>
      <c r="M436" s="5">
        <f>COUNTIF($B$1:$B$1475, B436)</f>
        <v>11</v>
      </c>
      <c r="N436" s="5">
        <f>COUNTIF($H$2:$H$1465, H436)</f>
        <v>70</v>
      </c>
    </row>
    <row r="437" spans="1:14">
      <c r="A437" s="26" t="s">
        <v>2169</v>
      </c>
      <c r="B437" s="23" t="s">
        <v>1140</v>
      </c>
      <c r="C437" s="23" t="s">
        <v>1141</v>
      </c>
      <c r="D437" s="27">
        <v>137.07</v>
      </c>
      <c r="E437" s="27">
        <v>137.07</v>
      </c>
      <c r="F437" s="23">
        <v>1</v>
      </c>
      <c r="G437" s="27">
        <f>E437/F437</f>
        <v>137.07</v>
      </c>
      <c r="H437" s="59" t="s">
        <v>2128</v>
      </c>
      <c r="I437" s="23" t="s">
        <v>2170</v>
      </c>
      <c r="J437" s="23" t="s">
        <v>2171</v>
      </c>
      <c r="K437" s="23" t="s">
        <v>2172</v>
      </c>
      <c r="L437" s="44" t="s">
        <v>24</v>
      </c>
      <c r="M437" s="5">
        <f>COUNTIF($B$1:$B$1475, B437)</f>
        <v>11</v>
      </c>
      <c r="N437" s="5">
        <f>COUNTIF($H$2:$H$1465, H437)</f>
        <v>70</v>
      </c>
    </row>
    <row r="438" spans="1:14">
      <c r="A438" s="40" t="s">
        <v>2173</v>
      </c>
      <c r="B438" s="41" t="s">
        <v>1140</v>
      </c>
      <c r="C438" s="41" t="s">
        <v>1141</v>
      </c>
      <c r="D438" s="42">
        <v>109.66</v>
      </c>
      <c r="E438" s="42">
        <v>109.66</v>
      </c>
      <c r="F438" s="41">
        <v>1</v>
      </c>
      <c r="G438" s="42">
        <f>E438/F438</f>
        <v>109.66</v>
      </c>
      <c r="H438" s="58" t="s">
        <v>2128</v>
      </c>
      <c r="I438" s="41" t="s">
        <v>2174</v>
      </c>
      <c r="J438" s="41" t="s">
        <v>2175</v>
      </c>
      <c r="K438" s="41" t="s">
        <v>2176</v>
      </c>
      <c r="L438" s="43" t="s">
        <v>24</v>
      </c>
      <c r="M438" s="5">
        <f>COUNTIF($B$1:$B$1475, B438)</f>
        <v>11</v>
      </c>
      <c r="N438" s="5">
        <f>COUNTIF($H$2:$H$1465, H438)</f>
        <v>70</v>
      </c>
    </row>
    <row r="439" spans="1:14">
      <c r="A439" s="26" t="s">
        <v>2177</v>
      </c>
      <c r="B439" s="23" t="s">
        <v>2178</v>
      </c>
      <c r="C439" s="23" t="s">
        <v>2179</v>
      </c>
      <c r="D439" s="27">
        <v>104.17</v>
      </c>
      <c r="E439" s="27">
        <v>104.17</v>
      </c>
      <c r="F439" s="23">
        <v>1</v>
      </c>
      <c r="G439" s="27">
        <f>E439/F439</f>
        <v>104.17</v>
      </c>
      <c r="H439" s="59" t="s">
        <v>2128</v>
      </c>
      <c r="I439" s="23" t="s">
        <v>2180</v>
      </c>
      <c r="J439" s="23" t="s">
        <v>2181</v>
      </c>
      <c r="K439" s="23" t="s">
        <v>2182</v>
      </c>
      <c r="L439" s="44" t="s">
        <v>24</v>
      </c>
      <c r="M439" s="5">
        <f>COUNTIF($B$1:$B$1475, B439)</f>
        <v>7</v>
      </c>
      <c r="N439" s="5">
        <f>COUNTIF($H$2:$H$1465, H439)</f>
        <v>70</v>
      </c>
    </row>
    <row r="440" spans="1:14">
      <c r="A440" s="40" t="s">
        <v>2183</v>
      </c>
      <c r="B440" s="41" t="s">
        <v>2178</v>
      </c>
      <c r="C440" s="41" t="s">
        <v>2179</v>
      </c>
      <c r="D440" s="42">
        <v>104.17</v>
      </c>
      <c r="E440" s="42">
        <v>104.17</v>
      </c>
      <c r="F440" s="41">
        <v>1</v>
      </c>
      <c r="G440" s="42">
        <f>E440/F440</f>
        <v>104.17</v>
      </c>
      <c r="H440" s="58" t="s">
        <v>2128</v>
      </c>
      <c r="I440" s="41" t="s">
        <v>2184</v>
      </c>
      <c r="J440" s="41" t="s">
        <v>2185</v>
      </c>
      <c r="K440" s="41" t="s">
        <v>2186</v>
      </c>
      <c r="L440" s="43" t="s">
        <v>24</v>
      </c>
      <c r="M440" s="5">
        <f>COUNTIF($B$1:$B$1475, B440)</f>
        <v>7</v>
      </c>
      <c r="N440" s="5">
        <f>COUNTIF($H$2:$H$1465, H440)</f>
        <v>70</v>
      </c>
    </row>
    <row r="441" spans="1:14">
      <c r="A441" s="26" t="s">
        <v>2187</v>
      </c>
      <c r="B441" s="23" t="s">
        <v>2188</v>
      </c>
      <c r="C441" s="23" t="s">
        <v>2189</v>
      </c>
      <c r="D441" s="27">
        <v>104.17</v>
      </c>
      <c r="E441" s="27">
        <v>191.9</v>
      </c>
      <c r="F441" s="23">
        <v>2</v>
      </c>
      <c r="G441" s="27">
        <f>E441/F441</f>
        <v>95.95</v>
      </c>
      <c r="H441" s="59" t="s">
        <v>2128</v>
      </c>
      <c r="I441" s="23" t="s">
        <v>2190</v>
      </c>
      <c r="J441" s="23" t="s">
        <v>2191</v>
      </c>
      <c r="K441" s="23" t="s">
        <v>2192</v>
      </c>
      <c r="L441" s="44" t="s">
        <v>24</v>
      </c>
      <c r="M441" s="5">
        <f>COUNTIF($B$1:$B$1475, B441)</f>
        <v>1</v>
      </c>
      <c r="N441" s="5">
        <f>COUNTIF($H$2:$H$1465, H441)</f>
        <v>70</v>
      </c>
    </row>
    <row r="442" spans="1:14">
      <c r="A442" s="40" t="s">
        <v>2193</v>
      </c>
      <c r="B442" s="41" t="s">
        <v>1603</v>
      </c>
      <c r="C442" s="41" t="s">
        <v>1604</v>
      </c>
      <c r="D442" s="42">
        <v>104.17</v>
      </c>
      <c r="E442" s="42">
        <v>120.62</v>
      </c>
      <c r="F442" s="41">
        <v>2</v>
      </c>
      <c r="G442" s="42">
        <f>E442/F442</f>
        <v>60.31</v>
      </c>
      <c r="H442" s="58" t="s">
        <v>2128</v>
      </c>
      <c r="I442" s="41" t="s">
        <v>2194</v>
      </c>
      <c r="J442" s="41" t="s">
        <v>2195</v>
      </c>
      <c r="K442" s="41" t="s">
        <v>2196</v>
      </c>
      <c r="L442" s="43" t="s">
        <v>24</v>
      </c>
      <c r="M442" s="5">
        <f>COUNTIF($B$1:$B$1475, B442)</f>
        <v>2</v>
      </c>
      <c r="N442" s="5">
        <f>COUNTIF($H$2:$H$1465, H442)</f>
        <v>70</v>
      </c>
    </row>
    <row r="443" spans="1:14">
      <c r="A443" s="26" t="s">
        <v>2197</v>
      </c>
      <c r="B443" s="23" t="s">
        <v>117</v>
      </c>
      <c r="C443" s="23" t="s">
        <v>118</v>
      </c>
      <c r="D443" s="27">
        <v>104.17</v>
      </c>
      <c r="E443" s="27">
        <v>115.14</v>
      </c>
      <c r="F443" s="23">
        <v>2</v>
      </c>
      <c r="G443" s="27">
        <f>E443/F443</f>
        <v>57.57</v>
      </c>
      <c r="H443" s="59" t="s">
        <v>2128</v>
      </c>
      <c r="I443" s="23" t="s">
        <v>2198</v>
      </c>
      <c r="J443" s="23" t="s">
        <v>2199</v>
      </c>
      <c r="K443" s="23" t="s">
        <v>2200</v>
      </c>
      <c r="L443" s="44" t="s">
        <v>24</v>
      </c>
      <c r="M443" s="5">
        <f>COUNTIF($B$1:$B$1475, B443)</f>
        <v>23</v>
      </c>
      <c r="N443" s="5">
        <f>COUNTIF($H$2:$H$1465, H443)</f>
        <v>70</v>
      </c>
    </row>
    <row r="444" spans="1:14">
      <c r="A444" s="40" t="s">
        <v>2201</v>
      </c>
      <c r="B444" s="41" t="s">
        <v>117</v>
      </c>
      <c r="C444" s="41" t="s">
        <v>118</v>
      </c>
      <c r="D444" s="42">
        <v>104.17</v>
      </c>
      <c r="E444" s="42">
        <v>115.14</v>
      </c>
      <c r="F444" s="41">
        <v>2</v>
      </c>
      <c r="G444" s="42">
        <f>E444/F444</f>
        <v>57.57</v>
      </c>
      <c r="H444" s="58" t="s">
        <v>2128</v>
      </c>
      <c r="I444" s="41" t="s">
        <v>2202</v>
      </c>
      <c r="J444" s="41" t="s">
        <v>2203</v>
      </c>
      <c r="K444" s="41" t="s">
        <v>2204</v>
      </c>
      <c r="L444" s="43" t="s">
        <v>24</v>
      </c>
      <c r="M444" s="5">
        <f>COUNTIF($B$1:$B$1475, B444)</f>
        <v>23</v>
      </c>
      <c r="N444" s="5">
        <f>COUNTIF($H$2:$H$1465, H444)</f>
        <v>70</v>
      </c>
    </row>
    <row r="445" spans="1:14">
      <c r="A445" s="26" t="s">
        <v>2205</v>
      </c>
      <c r="B445" s="23" t="s">
        <v>65</v>
      </c>
      <c r="C445" s="23" t="s">
        <v>58</v>
      </c>
      <c r="D445" s="27">
        <v>93.21</v>
      </c>
      <c r="E445" s="27">
        <v>104.17</v>
      </c>
      <c r="F445" s="23">
        <v>2</v>
      </c>
      <c r="G445" s="27">
        <f>E445/F445</f>
        <v>52.085000000000001</v>
      </c>
      <c r="H445" s="59" t="s">
        <v>2128</v>
      </c>
      <c r="I445" s="23" t="s">
        <v>2206</v>
      </c>
      <c r="J445" s="23" t="s">
        <v>2207</v>
      </c>
      <c r="K445" s="23" t="s">
        <v>230</v>
      </c>
      <c r="L445" s="44" t="s">
        <v>24</v>
      </c>
      <c r="M445" s="5">
        <f>COUNTIF($B$1:$B$1475, B445)</f>
        <v>35</v>
      </c>
      <c r="N445" s="5">
        <f>COUNTIF($H$2:$H$1465, H445)</f>
        <v>70</v>
      </c>
    </row>
    <row r="446" spans="1:14">
      <c r="A446" s="40" t="s">
        <v>2208</v>
      </c>
      <c r="B446" s="41" t="s">
        <v>606</v>
      </c>
      <c r="C446" s="41" t="s">
        <v>607</v>
      </c>
      <c r="D446" s="42">
        <v>93.21</v>
      </c>
      <c r="E446" s="42">
        <v>109.66</v>
      </c>
      <c r="F446" s="41">
        <v>2</v>
      </c>
      <c r="G446" s="42">
        <f>E446/F446</f>
        <v>54.83</v>
      </c>
      <c r="H446" s="58" t="s">
        <v>2128</v>
      </c>
      <c r="I446" s="41" t="s">
        <v>2209</v>
      </c>
      <c r="J446" s="41" t="s">
        <v>2210</v>
      </c>
      <c r="K446" s="41" t="s">
        <v>2211</v>
      </c>
      <c r="L446" s="43" t="s">
        <v>24</v>
      </c>
      <c r="M446" s="5">
        <f>COUNTIF($B$1:$B$1475, B446)</f>
        <v>4</v>
      </c>
      <c r="N446" s="5">
        <f>COUNTIF($H$2:$H$1465, H446)</f>
        <v>70</v>
      </c>
    </row>
    <row r="447" spans="1:14">
      <c r="A447" s="26" t="s">
        <v>2212</v>
      </c>
      <c r="B447" s="23" t="s">
        <v>33</v>
      </c>
      <c r="C447" s="23" t="s">
        <v>34</v>
      </c>
      <c r="D447" s="27">
        <v>82.24</v>
      </c>
      <c r="E447" s="27">
        <v>104.17</v>
      </c>
      <c r="F447" s="23">
        <v>2</v>
      </c>
      <c r="G447" s="27">
        <f>E447/F447</f>
        <v>52.085000000000001</v>
      </c>
      <c r="H447" s="59" t="s">
        <v>2128</v>
      </c>
      <c r="I447" s="23" t="s">
        <v>2213</v>
      </c>
      <c r="J447" s="23" t="s">
        <v>2214</v>
      </c>
      <c r="K447" s="23" t="s">
        <v>2215</v>
      </c>
      <c r="L447" s="44" t="s">
        <v>24</v>
      </c>
      <c r="M447" s="5">
        <f>COUNTIF($B$1:$B$1475, B447)</f>
        <v>9</v>
      </c>
      <c r="N447" s="5">
        <f>COUNTIF($H$2:$H$1465, H447)</f>
        <v>70</v>
      </c>
    </row>
    <row r="448" spans="1:14">
      <c r="A448" s="40" t="s">
        <v>2216</v>
      </c>
      <c r="B448" s="41" t="s">
        <v>33</v>
      </c>
      <c r="C448" s="41" t="s">
        <v>34</v>
      </c>
      <c r="D448" s="42">
        <v>82.24</v>
      </c>
      <c r="E448" s="42">
        <v>82.24</v>
      </c>
      <c r="F448" s="41">
        <v>1</v>
      </c>
      <c r="G448" s="42">
        <f>E448/F448</f>
        <v>82.24</v>
      </c>
      <c r="H448" s="58" t="s">
        <v>2128</v>
      </c>
      <c r="I448" s="41" t="s">
        <v>2217</v>
      </c>
      <c r="J448" s="41" t="s">
        <v>2218</v>
      </c>
      <c r="K448" s="41" t="s">
        <v>2219</v>
      </c>
      <c r="L448" s="43" t="s">
        <v>24</v>
      </c>
      <c r="M448" s="5">
        <f>COUNTIF($B$1:$B$1475, B448)</f>
        <v>9</v>
      </c>
      <c r="N448" s="5">
        <f>COUNTIF($H$2:$H$1465, H448)</f>
        <v>70</v>
      </c>
    </row>
    <row r="449" spans="1:14">
      <c r="A449" s="26" t="s">
        <v>2220</v>
      </c>
      <c r="B449" s="23" t="s">
        <v>2221</v>
      </c>
      <c r="C449" s="23" t="s">
        <v>2222</v>
      </c>
      <c r="D449" s="27">
        <v>82.24</v>
      </c>
      <c r="E449" s="27">
        <v>1091.0899999999999</v>
      </c>
      <c r="F449" s="23">
        <v>36</v>
      </c>
      <c r="G449" s="27">
        <f>E449/F449</f>
        <v>30.308055555555555</v>
      </c>
      <c r="H449" s="59" t="s">
        <v>2128</v>
      </c>
      <c r="I449" s="23" t="s">
        <v>2223</v>
      </c>
      <c r="J449" s="23" t="s">
        <v>2224</v>
      </c>
      <c r="K449" s="23" t="s">
        <v>2225</v>
      </c>
      <c r="L449" s="44" t="s">
        <v>301</v>
      </c>
      <c r="M449" s="5">
        <f>COUNTIF($B$1:$B$1475, B449)</f>
        <v>1</v>
      </c>
      <c r="N449" s="5">
        <f>COUNTIF($H$2:$H$1465, H449)</f>
        <v>70</v>
      </c>
    </row>
    <row r="450" spans="1:14">
      <c r="A450" s="40" t="s">
        <v>2226</v>
      </c>
      <c r="B450" s="41" t="s">
        <v>2227</v>
      </c>
      <c r="C450" s="41" t="s">
        <v>2228</v>
      </c>
      <c r="D450" s="42">
        <v>76.760000000000005</v>
      </c>
      <c r="E450" s="42">
        <v>104.17</v>
      </c>
      <c r="F450" s="41">
        <v>2</v>
      </c>
      <c r="G450" s="42">
        <f>E450/F450</f>
        <v>52.085000000000001</v>
      </c>
      <c r="H450" s="58" t="s">
        <v>2128</v>
      </c>
      <c r="I450" s="41" t="s">
        <v>2229</v>
      </c>
      <c r="J450" s="41" t="s">
        <v>2230</v>
      </c>
      <c r="K450" s="41" t="s">
        <v>2231</v>
      </c>
      <c r="L450" s="43" t="s">
        <v>24</v>
      </c>
      <c r="M450" s="5">
        <f>COUNTIF($B$1:$B$1475, B450)</f>
        <v>2</v>
      </c>
      <c r="N450" s="5">
        <f>COUNTIF($H$2:$H$1465, H450)</f>
        <v>70</v>
      </c>
    </row>
    <row r="451" spans="1:14">
      <c r="A451" s="26" t="s">
        <v>2232</v>
      </c>
      <c r="B451" s="23" t="s">
        <v>2233</v>
      </c>
      <c r="C451" s="23" t="s">
        <v>2234</v>
      </c>
      <c r="D451" s="27">
        <v>65.790000000000006</v>
      </c>
      <c r="E451" s="27">
        <v>65.790000000000006</v>
      </c>
      <c r="F451" s="23">
        <v>1</v>
      </c>
      <c r="G451" s="27">
        <f>E451/F451</f>
        <v>65.790000000000006</v>
      </c>
      <c r="H451" s="59" t="s">
        <v>2128</v>
      </c>
      <c r="I451" s="23" t="s">
        <v>2235</v>
      </c>
      <c r="J451" s="23" t="s">
        <v>2236</v>
      </c>
      <c r="K451" s="23" t="s">
        <v>2237</v>
      </c>
      <c r="L451" s="44" t="s">
        <v>24</v>
      </c>
      <c r="M451" s="5">
        <f>COUNTIF($B$1:$B$1475, B451)</f>
        <v>2</v>
      </c>
      <c r="N451" s="5">
        <f>COUNTIF($H$2:$H$1465, H451)</f>
        <v>70</v>
      </c>
    </row>
    <row r="452" spans="1:14">
      <c r="A452" s="40" t="s">
        <v>2238</v>
      </c>
      <c r="B452" s="41" t="s">
        <v>2239</v>
      </c>
      <c r="C452" s="41" t="s">
        <v>2240</v>
      </c>
      <c r="D452" s="42">
        <v>54.83</v>
      </c>
      <c r="E452" s="42">
        <v>82.24</v>
      </c>
      <c r="F452" s="41">
        <v>2</v>
      </c>
      <c r="G452" s="42">
        <f>E452/F452</f>
        <v>41.12</v>
      </c>
      <c r="H452" s="58" t="s">
        <v>2128</v>
      </c>
      <c r="I452" s="41" t="s">
        <v>2241</v>
      </c>
      <c r="J452" s="41" t="s">
        <v>2242</v>
      </c>
      <c r="K452" s="41" t="s">
        <v>2243</v>
      </c>
      <c r="L452" s="43" t="s">
        <v>24</v>
      </c>
      <c r="M452" s="5">
        <f>COUNTIF($B$1:$B$1475, B452)</f>
        <v>1</v>
      </c>
      <c r="N452" s="5">
        <f>COUNTIF($H$2:$H$1465, H452)</f>
        <v>70</v>
      </c>
    </row>
    <row r="453" spans="1:14">
      <c r="A453" s="26" t="s">
        <v>2244</v>
      </c>
      <c r="B453" s="23" t="s">
        <v>2245</v>
      </c>
      <c r="C453" s="23" t="s">
        <v>2245</v>
      </c>
      <c r="D453" s="27">
        <v>1.64</v>
      </c>
      <c r="E453" s="27">
        <v>65.790000000000006</v>
      </c>
      <c r="F453" s="23">
        <v>2</v>
      </c>
      <c r="G453" s="27">
        <f>E453/F453</f>
        <v>32.895000000000003</v>
      </c>
      <c r="H453" s="59" t="s">
        <v>2128</v>
      </c>
      <c r="I453" s="23" t="s">
        <v>2246</v>
      </c>
      <c r="J453" s="23" t="s">
        <v>2247</v>
      </c>
      <c r="K453" s="23" t="s">
        <v>2248</v>
      </c>
      <c r="L453" s="44" t="s">
        <v>24</v>
      </c>
      <c r="M453" s="5">
        <f>COUNTIF($B$1:$B$1475, B453)</f>
        <v>1</v>
      </c>
      <c r="N453" s="5">
        <f>COUNTIF($H$2:$H$1465, H453)</f>
        <v>70</v>
      </c>
    </row>
    <row r="454" spans="1:14">
      <c r="A454" s="40" t="s">
        <v>2249</v>
      </c>
      <c r="B454" s="41" t="s">
        <v>2250</v>
      </c>
      <c r="C454" s="41" t="s">
        <v>2251</v>
      </c>
      <c r="D454" s="42">
        <v>104.17</v>
      </c>
      <c r="E454" s="42">
        <v>148.04</v>
      </c>
      <c r="F454" s="41">
        <v>2</v>
      </c>
      <c r="G454" s="42">
        <f>E454/F454</f>
        <v>74.02</v>
      </c>
      <c r="H454" s="58" t="s">
        <v>2128</v>
      </c>
      <c r="I454" s="41" t="s">
        <v>2252</v>
      </c>
      <c r="J454" s="41" t="s">
        <v>2253</v>
      </c>
      <c r="K454" s="41" t="s">
        <v>2254</v>
      </c>
      <c r="L454" s="43" t="s">
        <v>24</v>
      </c>
      <c r="M454" s="5">
        <f>COUNTIF($B$1:$B$1475, B454)</f>
        <v>1</v>
      </c>
      <c r="N454" s="5">
        <f>COUNTIF($H$2:$H$1465, H454)</f>
        <v>70</v>
      </c>
    </row>
    <row r="455" spans="1:14">
      <c r="A455" s="26" t="s">
        <v>2255</v>
      </c>
      <c r="B455" s="23" t="s">
        <v>2256</v>
      </c>
      <c r="C455" s="23" t="s">
        <v>2257</v>
      </c>
      <c r="D455" s="27">
        <v>54.83</v>
      </c>
      <c r="E455" s="27">
        <v>54.83</v>
      </c>
      <c r="F455" s="23">
        <v>1</v>
      </c>
      <c r="G455" s="27">
        <f>E455/F455</f>
        <v>54.83</v>
      </c>
      <c r="H455" s="59" t="s">
        <v>2128</v>
      </c>
      <c r="I455" s="23" t="s">
        <v>2258</v>
      </c>
      <c r="J455" s="23" t="s">
        <v>2259</v>
      </c>
      <c r="K455" s="23" t="s">
        <v>2260</v>
      </c>
      <c r="L455" s="44" t="s">
        <v>24</v>
      </c>
      <c r="M455" s="5">
        <f>COUNTIF($B$1:$B$1475, B455)</f>
        <v>4</v>
      </c>
      <c r="N455" s="5">
        <f>COUNTIF($H$2:$H$1465, H455)</f>
        <v>70</v>
      </c>
    </row>
    <row r="456" spans="1:14">
      <c r="A456" s="40" t="s">
        <v>2261</v>
      </c>
      <c r="B456" s="41" t="s">
        <v>2262</v>
      </c>
      <c r="C456" s="41" t="s">
        <v>2262</v>
      </c>
      <c r="D456" s="42">
        <v>49.35</v>
      </c>
      <c r="E456" s="42">
        <v>76.760000000000005</v>
      </c>
      <c r="F456" s="41">
        <v>10</v>
      </c>
      <c r="G456" s="42">
        <f>E456/F456</f>
        <v>7.6760000000000002</v>
      </c>
      <c r="H456" s="58" t="s">
        <v>2128</v>
      </c>
      <c r="I456" s="41" t="s">
        <v>2263</v>
      </c>
      <c r="J456" s="41" t="s">
        <v>2264</v>
      </c>
      <c r="K456" s="41" t="s">
        <v>2265</v>
      </c>
      <c r="L456" s="43" t="s">
        <v>24</v>
      </c>
      <c r="M456" s="5">
        <f>COUNTIF($B$1:$B$1475, B456)</f>
        <v>1</v>
      </c>
      <c r="N456" s="5">
        <f>COUNTIF($H$2:$H$1465, H456)</f>
        <v>70</v>
      </c>
    </row>
    <row r="457" spans="1:14">
      <c r="A457" s="26" t="s">
        <v>2266</v>
      </c>
      <c r="B457" s="23" t="s">
        <v>694</v>
      </c>
      <c r="C457" s="23" t="s">
        <v>695</v>
      </c>
      <c r="D457" s="27">
        <v>137.07</v>
      </c>
      <c r="E457" s="27">
        <v>137.07</v>
      </c>
      <c r="F457" s="23">
        <v>1</v>
      </c>
      <c r="G457" s="27">
        <f>E457/F457</f>
        <v>137.07</v>
      </c>
      <c r="H457" s="59" t="s">
        <v>2128</v>
      </c>
      <c r="I457" s="23" t="s">
        <v>2267</v>
      </c>
      <c r="J457" s="23" t="s">
        <v>2268</v>
      </c>
      <c r="K457" s="23" t="s">
        <v>2269</v>
      </c>
      <c r="L457" s="44" t="s">
        <v>24</v>
      </c>
      <c r="M457" s="5">
        <f>COUNTIF($B$1:$B$1475, B457)</f>
        <v>2</v>
      </c>
      <c r="N457" s="5">
        <f>COUNTIF($H$2:$H$1465, H457)</f>
        <v>70</v>
      </c>
    </row>
    <row r="458" spans="1:14">
      <c r="A458" s="40" t="s">
        <v>2270</v>
      </c>
      <c r="B458" s="41" t="s">
        <v>2256</v>
      </c>
      <c r="C458" s="41" t="s">
        <v>2257</v>
      </c>
      <c r="D458" s="42">
        <v>65.790000000000006</v>
      </c>
      <c r="E458" s="42">
        <v>65.790000000000006</v>
      </c>
      <c r="F458" s="41">
        <v>1</v>
      </c>
      <c r="G458" s="42">
        <f>E458/F458</f>
        <v>65.790000000000006</v>
      </c>
      <c r="H458" s="58" t="s">
        <v>2128</v>
      </c>
      <c r="I458" s="41" t="s">
        <v>2271</v>
      </c>
      <c r="J458" s="41" t="s">
        <v>2272</v>
      </c>
      <c r="K458" s="41" t="s">
        <v>2273</v>
      </c>
      <c r="L458" s="43" t="s">
        <v>24</v>
      </c>
      <c r="M458" s="5">
        <f>COUNTIF($B$1:$B$1475, B458)</f>
        <v>4</v>
      </c>
      <c r="N458" s="5">
        <f>COUNTIF($H$2:$H$1465, H458)</f>
        <v>70</v>
      </c>
    </row>
    <row r="459" spans="1:14">
      <c r="A459" s="26" t="s">
        <v>2274</v>
      </c>
      <c r="B459" s="23" t="s">
        <v>2256</v>
      </c>
      <c r="C459" s="23" t="s">
        <v>2257</v>
      </c>
      <c r="D459" s="27">
        <v>49.35</v>
      </c>
      <c r="E459" s="27">
        <v>49.35</v>
      </c>
      <c r="F459" s="23">
        <v>1</v>
      </c>
      <c r="G459" s="27">
        <f>E459/F459</f>
        <v>49.35</v>
      </c>
      <c r="H459" s="59" t="s">
        <v>2128</v>
      </c>
      <c r="I459" s="23" t="s">
        <v>2275</v>
      </c>
      <c r="J459" s="23" t="s">
        <v>2276</v>
      </c>
      <c r="K459" s="23" t="s">
        <v>2277</v>
      </c>
      <c r="L459" s="44" t="s">
        <v>24</v>
      </c>
      <c r="M459" s="5">
        <f>COUNTIF($B$1:$B$1475, B459)</f>
        <v>4</v>
      </c>
      <c r="N459" s="5">
        <f>COUNTIF($H$2:$H$1465, H459)</f>
        <v>70</v>
      </c>
    </row>
    <row r="460" spans="1:14">
      <c r="A460" s="40" t="s">
        <v>2278</v>
      </c>
      <c r="B460" s="41" t="s">
        <v>352</v>
      </c>
      <c r="C460" s="41" t="s">
        <v>353</v>
      </c>
      <c r="D460" s="42">
        <v>115.14</v>
      </c>
      <c r="E460" s="42">
        <v>115.14</v>
      </c>
      <c r="F460" s="41">
        <v>2</v>
      </c>
      <c r="G460" s="42">
        <f>E460/F460</f>
        <v>57.57</v>
      </c>
      <c r="H460" s="58" t="s">
        <v>2128</v>
      </c>
      <c r="I460" s="41" t="s">
        <v>2279</v>
      </c>
      <c r="J460" s="41" t="s">
        <v>2280</v>
      </c>
      <c r="K460" s="41" t="s">
        <v>2281</v>
      </c>
      <c r="L460" s="43" t="s">
        <v>24</v>
      </c>
      <c r="M460" s="5">
        <f>COUNTIF($B$1:$B$1475, B460)</f>
        <v>9</v>
      </c>
      <c r="N460" s="5">
        <f>COUNTIF($H$2:$H$1465, H460)</f>
        <v>70</v>
      </c>
    </row>
    <row r="461" spans="1:14">
      <c r="A461" s="26" t="s">
        <v>2282</v>
      </c>
      <c r="B461" s="23" t="s">
        <v>110</v>
      </c>
      <c r="C461" s="23" t="s">
        <v>111</v>
      </c>
      <c r="D461" s="27">
        <v>109.66</v>
      </c>
      <c r="E461" s="27">
        <v>109.66</v>
      </c>
      <c r="F461" s="23">
        <v>1</v>
      </c>
      <c r="G461" s="27">
        <f>E461/F461</f>
        <v>109.66</v>
      </c>
      <c r="H461" s="59" t="s">
        <v>2128</v>
      </c>
      <c r="I461" s="23" t="s">
        <v>2283</v>
      </c>
      <c r="J461" s="23" t="s">
        <v>2284</v>
      </c>
      <c r="K461" s="23" t="s">
        <v>2285</v>
      </c>
      <c r="L461" s="44" t="s">
        <v>24</v>
      </c>
      <c r="M461" s="5">
        <f>COUNTIF($B$1:$B$1475, B461)</f>
        <v>2</v>
      </c>
      <c r="N461" s="5">
        <f>COUNTIF($H$2:$H$1465, H461)</f>
        <v>70</v>
      </c>
    </row>
    <row r="462" spans="1:14">
      <c r="A462" s="40" t="s">
        <v>2286</v>
      </c>
      <c r="B462" s="41" t="s">
        <v>2287</v>
      </c>
      <c r="C462" s="41" t="s">
        <v>2288</v>
      </c>
      <c r="D462" s="42">
        <v>274.14</v>
      </c>
      <c r="E462" s="42">
        <v>1096.57</v>
      </c>
      <c r="F462" s="41">
        <v>18</v>
      </c>
      <c r="G462" s="42">
        <f>E462/F462</f>
        <v>60.920555555555552</v>
      </c>
      <c r="H462" s="58" t="s">
        <v>2128</v>
      </c>
      <c r="I462" s="41" t="s">
        <v>2289</v>
      </c>
      <c r="J462" s="41" t="s">
        <v>2290</v>
      </c>
      <c r="K462" s="41" t="s">
        <v>2291</v>
      </c>
      <c r="L462" s="43" t="s">
        <v>301</v>
      </c>
      <c r="M462" s="5">
        <f>COUNTIF($B$1:$B$1475, B462)</f>
        <v>1</v>
      </c>
      <c r="N462" s="5">
        <f>COUNTIF($H$2:$H$1465, H462)</f>
        <v>70</v>
      </c>
    </row>
    <row r="463" spans="1:14">
      <c r="A463" s="26" t="s">
        <v>2292</v>
      </c>
      <c r="B463" s="23" t="s">
        <v>1140</v>
      </c>
      <c r="C463" s="23" t="s">
        <v>1141</v>
      </c>
      <c r="D463" s="27">
        <v>109.66</v>
      </c>
      <c r="E463" s="27">
        <v>109.66</v>
      </c>
      <c r="F463" s="23">
        <v>1</v>
      </c>
      <c r="G463" s="27">
        <f>E463/F463</f>
        <v>109.66</v>
      </c>
      <c r="H463" s="59" t="s">
        <v>2128</v>
      </c>
      <c r="I463" s="23" t="s">
        <v>2293</v>
      </c>
      <c r="J463" s="23" t="s">
        <v>2294</v>
      </c>
      <c r="K463" s="23" t="s">
        <v>2295</v>
      </c>
      <c r="L463" s="44" t="s">
        <v>24</v>
      </c>
      <c r="M463" s="5">
        <f>COUNTIF($B$1:$B$1475, B463)</f>
        <v>11</v>
      </c>
      <c r="N463" s="5">
        <f>COUNTIF($H$2:$H$1465, H463)</f>
        <v>70</v>
      </c>
    </row>
    <row r="464" spans="1:14">
      <c r="A464" s="40" t="s">
        <v>2296</v>
      </c>
      <c r="B464" s="41" t="s">
        <v>2178</v>
      </c>
      <c r="C464" s="41" t="s">
        <v>2179</v>
      </c>
      <c r="D464" s="42">
        <v>104.17</v>
      </c>
      <c r="E464" s="42">
        <v>104.17</v>
      </c>
      <c r="F464" s="41">
        <v>1</v>
      </c>
      <c r="G464" s="42">
        <f>E464/F464</f>
        <v>104.17</v>
      </c>
      <c r="H464" s="58" t="s">
        <v>2128</v>
      </c>
      <c r="I464" s="41" t="s">
        <v>2297</v>
      </c>
      <c r="J464" s="41" t="s">
        <v>2298</v>
      </c>
      <c r="K464" s="41" t="s">
        <v>2299</v>
      </c>
      <c r="L464" s="43" t="s">
        <v>24</v>
      </c>
      <c r="M464" s="5">
        <f>COUNTIF($B$1:$B$1475, B464)</f>
        <v>7</v>
      </c>
      <c r="N464" s="5">
        <f>COUNTIF($H$2:$H$1465, H464)</f>
        <v>70</v>
      </c>
    </row>
    <row r="465" spans="1:14">
      <c r="A465" s="26" t="s">
        <v>2300</v>
      </c>
      <c r="B465" s="23" t="s">
        <v>2178</v>
      </c>
      <c r="C465" s="23" t="s">
        <v>2179</v>
      </c>
      <c r="D465" s="27">
        <v>104.17</v>
      </c>
      <c r="E465" s="27">
        <v>104.17</v>
      </c>
      <c r="F465" s="23">
        <v>1</v>
      </c>
      <c r="G465" s="27">
        <f>E465/F465</f>
        <v>104.17</v>
      </c>
      <c r="H465" s="59" t="s">
        <v>2128</v>
      </c>
      <c r="I465" s="23" t="s">
        <v>2301</v>
      </c>
      <c r="J465" s="23" t="s">
        <v>2302</v>
      </c>
      <c r="K465" s="23" t="s">
        <v>2303</v>
      </c>
      <c r="L465" s="44" t="s">
        <v>24</v>
      </c>
      <c r="M465" s="5">
        <f>COUNTIF($B$1:$B$1475, B465)</f>
        <v>7</v>
      </c>
      <c r="N465" s="5">
        <f>COUNTIF($H$2:$H$1465, H465)</f>
        <v>70</v>
      </c>
    </row>
    <row r="466" spans="1:14">
      <c r="A466" s="40" t="s">
        <v>2304</v>
      </c>
      <c r="B466" s="41" t="s">
        <v>2178</v>
      </c>
      <c r="C466" s="41" t="s">
        <v>2179</v>
      </c>
      <c r="D466" s="42">
        <v>104.17</v>
      </c>
      <c r="E466" s="42">
        <v>104.17</v>
      </c>
      <c r="F466" s="41">
        <v>1</v>
      </c>
      <c r="G466" s="42">
        <f>E466/F466</f>
        <v>104.17</v>
      </c>
      <c r="H466" s="58" t="s">
        <v>2128</v>
      </c>
      <c r="I466" s="41" t="s">
        <v>2305</v>
      </c>
      <c r="J466" s="41" t="s">
        <v>2306</v>
      </c>
      <c r="K466" s="41" t="s">
        <v>2307</v>
      </c>
      <c r="L466" s="43" t="s">
        <v>24</v>
      </c>
      <c r="M466" s="5">
        <f>COUNTIF($B$1:$B$1475, B466)</f>
        <v>7</v>
      </c>
      <c r="N466" s="5">
        <f>COUNTIF($H$2:$H$1465, H466)</f>
        <v>70</v>
      </c>
    </row>
    <row r="467" spans="1:14">
      <c r="A467" s="26" t="s">
        <v>2308</v>
      </c>
      <c r="B467" s="23" t="s">
        <v>2178</v>
      </c>
      <c r="C467" s="23" t="s">
        <v>2179</v>
      </c>
      <c r="D467" s="27">
        <v>104.17</v>
      </c>
      <c r="E467" s="27">
        <v>104.17</v>
      </c>
      <c r="F467" s="23">
        <v>1</v>
      </c>
      <c r="G467" s="27">
        <f>E467/F467</f>
        <v>104.17</v>
      </c>
      <c r="H467" s="59" t="s">
        <v>2128</v>
      </c>
      <c r="I467" s="23" t="s">
        <v>2309</v>
      </c>
      <c r="J467" s="23" t="s">
        <v>2310</v>
      </c>
      <c r="K467" s="23" t="s">
        <v>2311</v>
      </c>
      <c r="L467" s="44" t="s">
        <v>24</v>
      </c>
      <c r="M467" s="5">
        <f>COUNTIF($B$1:$B$1475, B467)</f>
        <v>7</v>
      </c>
      <c r="N467" s="5">
        <f>COUNTIF($H$2:$H$1465, H467)</f>
        <v>70</v>
      </c>
    </row>
    <row r="468" spans="1:14">
      <c r="A468" s="40" t="s">
        <v>2312</v>
      </c>
      <c r="B468" s="41" t="s">
        <v>2313</v>
      </c>
      <c r="C468" s="41" t="s">
        <v>2314</v>
      </c>
      <c r="D468" s="42">
        <v>104.17</v>
      </c>
      <c r="E468" s="42">
        <v>109.66</v>
      </c>
      <c r="F468" s="41">
        <v>4</v>
      </c>
      <c r="G468" s="42">
        <f>E468/F468</f>
        <v>27.414999999999999</v>
      </c>
      <c r="H468" s="58" t="s">
        <v>2128</v>
      </c>
      <c r="I468" s="41" t="s">
        <v>2315</v>
      </c>
      <c r="J468" s="41" t="s">
        <v>2316</v>
      </c>
      <c r="K468" s="41" t="s">
        <v>2317</v>
      </c>
      <c r="L468" s="43" t="s">
        <v>24</v>
      </c>
      <c r="M468" s="5">
        <f>COUNTIF($B$1:$B$1475, B468)</f>
        <v>1</v>
      </c>
      <c r="N468" s="5">
        <f>COUNTIF($H$2:$H$1465, H468)</f>
        <v>70</v>
      </c>
    </row>
    <row r="469" spans="1:14">
      <c r="A469" s="26" t="s">
        <v>2318</v>
      </c>
      <c r="B469" s="23" t="s">
        <v>1095</v>
      </c>
      <c r="C469" s="23" t="s">
        <v>1096</v>
      </c>
      <c r="D469" s="27">
        <v>104.17</v>
      </c>
      <c r="E469" s="27">
        <v>104.17</v>
      </c>
      <c r="F469" s="23">
        <v>1</v>
      </c>
      <c r="G469" s="27">
        <f>E469/F469</f>
        <v>104.17</v>
      </c>
      <c r="H469" s="59" t="s">
        <v>2128</v>
      </c>
      <c r="I469" s="23" t="s">
        <v>2319</v>
      </c>
      <c r="J469" s="23" t="s">
        <v>2320</v>
      </c>
      <c r="K469" s="23" t="s">
        <v>2321</v>
      </c>
      <c r="L469" s="44" t="s">
        <v>24</v>
      </c>
      <c r="M469" s="5">
        <f>COUNTIF($B$1:$B$1475, B469)</f>
        <v>2</v>
      </c>
      <c r="N469" s="5">
        <f>COUNTIF($H$2:$H$1465, H469)</f>
        <v>70</v>
      </c>
    </row>
    <row r="470" spans="1:14">
      <c r="A470" s="40" t="s">
        <v>2322</v>
      </c>
      <c r="B470" s="41" t="s">
        <v>1743</v>
      </c>
      <c r="C470" s="41" t="s">
        <v>1477</v>
      </c>
      <c r="D470" s="42">
        <v>104.17</v>
      </c>
      <c r="E470" s="42">
        <v>126.11</v>
      </c>
      <c r="F470" s="41">
        <v>2</v>
      </c>
      <c r="G470" s="42">
        <f>E470/F470</f>
        <v>63.055</v>
      </c>
      <c r="H470" s="58" t="s">
        <v>2128</v>
      </c>
      <c r="I470" s="41" t="s">
        <v>2323</v>
      </c>
      <c r="J470" s="41" t="s">
        <v>2324</v>
      </c>
      <c r="K470" s="41" t="s">
        <v>2325</v>
      </c>
      <c r="L470" s="43" t="s">
        <v>24</v>
      </c>
      <c r="M470" s="5">
        <f>COUNTIF($B$1:$B$1475, B470)</f>
        <v>4</v>
      </c>
      <c r="N470" s="5">
        <f>COUNTIF($H$2:$H$1465, H470)</f>
        <v>70</v>
      </c>
    </row>
    <row r="471" spans="1:14">
      <c r="A471" s="26" t="s">
        <v>2326</v>
      </c>
      <c r="B471" s="23" t="s">
        <v>2327</v>
      </c>
      <c r="C471" s="23" t="s">
        <v>2328</v>
      </c>
      <c r="D471" s="27">
        <v>104.17</v>
      </c>
      <c r="E471" s="27">
        <v>104.17</v>
      </c>
      <c r="F471" s="23">
        <v>1</v>
      </c>
      <c r="G471" s="27">
        <f>E471/F471</f>
        <v>104.17</v>
      </c>
      <c r="H471" s="59" t="s">
        <v>2128</v>
      </c>
      <c r="I471" s="23" t="s">
        <v>2329</v>
      </c>
      <c r="J471" s="23" t="s">
        <v>2330</v>
      </c>
      <c r="K471" s="23" t="s">
        <v>2331</v>
      </c>
      <c r="L471" s="44" t="s">
        <v>24</v>
      </c>
      <c r="M471" s="5">
        <f>COUNTIF($B$1:$B$1475, B471)</f>
        <v>2</v>
      </c>
      <c r="N471" s="5">
        <f>COUNTIF($H$2:$H$1465, H471)</f>
        <v>70</v>
      </c>
    </row>
    <row r="472" spans="1:14">
      <c r="A472" s="40" t="s">
        <v>2332</v>
      </c>
      <c r="B472" s="41" t="s">
        <v>117</v>
      </c>
      <c r="C472" s="41" t="s">
        <v>118</v>
      </c>
      <c r="D472" s="42">
        <v>104.17</v>
      </c>
      <c r="E472" s="42">
        <v>115.14</v>
      </c>
      <c r="F472" s="41">
        <v>2</v>
      </c>
      <c r="G472" s="42">
        <f>E472/F472</f>
        <v>57.57</v>
      </c>
      <c r="H472" s="58" t="s">
        <v>2128</v>
      </c>
      <c r="I472" s="41" t="s">
        <v>2333</v>
      </c>
      <c r="J472" s="41" t="s">
        <v>2334</v>
      </c>
      <c r="K472" s="41" t="s">
        <v>2335</v>
      </c>
      <c r="L472" s="43" t="s">
        <v>24</v>
      </c>
      <c r="M472" s="5">
        <f>COUNTIF($B$1:$B$1475, B472)</f>
        <v>23</v>
      </c>
      <c r="N472" s="5">
        <f>COUNTIF($H$2:$H$1465, H472)</f>
        <v>70</v>
      </c>
    </row>
    <row r="473" spans="1:14">
      <c r="A473" s="26" t="s">
        <v>2336</v>
      </c>
      <c r="B473" s="23" t="s">
        <v>117</v>
      </c>
      <c r="C473" s="23" t="s">
        <v>118</v>
      </c>
      <c r="D473" s="27">
        <v>104.17</v>
      </c>
      <c r="E473" s="27">
        <v>115.14</v>
      </c>
      <c r="F473" s="23">
        <v>2</v>
      </c>
      <c r="G473" s="27">
        <f>E473/F473</f>
        <v>57.57</v>
      </c>
      <c r="H473" s="59" t="s">
        <v>2128</v>
      </c>
      <c r="I473" s="23" t="s">
        <v>2337</v>
      </c>
      <c r="J473" s="23" t="s">
        <v>2338</v>
      </c>
      <c r="K473" s="23" t="s">
        <v>2339</v>
      </c>
      <c r="L473" s="44" t="s">
        <v>24</v>
      </c>
      <c r="M473" s="5">
        <f>COUNTIF($B$1:$B$1475, B473)</f>
        <v>23</v>
      </c>
      <c r="N473" s="5">
        <f>COUNTIF($H$2:$H$1465, H473)</f>
        <v>70</v>
      </c>
    </row>
    <row r="474" spans="1:14">
      <c r="A474" s="40" t="s">
        <v>2340</v>
      </c>
      <c r="B474" s="41" t="s">
        <v>117</v>
      </c>
      <c r="C474" s="41" t="s">
        <v>118</v>
      </c>
      <c r="D474" s="42">
        <v>104.17</v>
      </c>
      <c r="E474" s="42">
        <v>115.14</v>
      </c>
      <c r="F474" s="41">
        <v>2</v>
      </c>
      <c r="G474" s="42">
        <f>E474/F474</f>
        <v>57.57</v>
      </c>
      <c r="H474" s="58" t="s">
        <v>2128</v>
      </c>
      <c r="I474" s="41" t="s">
        <v>2341</v>
      </c>
      <c r="J474" s="41" t="s">
        <v>2342</v>
      </c>
      <c r="K474" s="41" t="s">
        <v>2343</v>
      </c>
      <c r="L474" s="43" t="s">
        <v>24</v>
      </c>
      <c r="M474" s="5">
        <f>COUNTIF($B$1:$B$1475, B474)</f>
        <v>23</v>
      </c>
      <c r="N474" s="5">
        <f>COUNTIF($H$2:$H$1465, H474)</f>
        <v>70</v>
      </c>
    </row>
    <row r="475" spans="1:14">
      <c r="A475" s="26" t="s">
        <v>2344</v>
      </c>
      <c r="B475" s="23" t="s">
        <v>700</v>
      </c>
      <c r="C475" s="23" t="s">
        <v>701</v>
      </c>
      <c r="D475" s="27">
        <v>87.73</v>
      </c>
      <c r="E475" s="27">
        <v>87.73</v>
      </c>
      <c r="F475" s="23">
        <v>1</v>
      </c>
      <c r="G475" s="27">
        <f>E475/F475</f>
        <v>87.73</v>
      </c>
      <c r="H475" s="59" t="s">
        <v>2128</v>
      </c>
      <c r="I475" s="23" t="s">
        <v>2345</v>
      </c>
      <c r="J475" s="23" t="s">
        <v>2346</v>
      </c>
      <c r="K475" s="23" t="s">
        <v>2347</v>
      </c>
      <c r="L475" s="44" t="s">
        <v>24</v>
      </c>
      <c r="M475" s="5">
        <f>COUNTIF($B$1:$B$1475, B475)</f>
        <v>2</v>
      </c>
      <c r="N475" s="5">
        <f>COUNTIF($H$2:$H$1465, H475)</f>
        <v>70</v>
      </c>
    </row>
    <row r="476" spans="1:14">
      <c r="A476" s="40" t="s">
        <v>2348</v>
      </c>
      <c r="B476" s="41" t="s">
        <v>1669</v>
      </c>
      <c r="C476" s="41" t="s">
        <v>1670</v>
      </c>
      <c r="D476" s="42">
        <v>82.24</v>
      </c>
      <c r="E476" s="42">
        <v>137.07</v>
      </c>
      <c r="F476" s="41">
        <v>4</v>
      </c>
      <c r="G476" s="42">
        <f>E476/F476</f>
        <v>34.267499999999998</v>
      </c>
      <c r="H476" s="58" t="s">
        <v>2128</v>
      </c>
      <c r="I476" s="41" t="s">
        <v>2349</v>
      </c>
      <c r="J476" s="41" t="s">
        <v>2350</v>
      </c>
      <c r="K476" s="41" t="s">
        <v>2351</v>
      </c>
      <c r="L476" s="43" t="s">
        <v>24</v>
      </c>
      <c r="M476" s="5">
        <f>COUNTIF($B$1:$B$1475, B476)</f>
        <v>2</v>
      </c>
      <c r="N476" s="5">
        <f>COUNTIF($H$2:$H$1465, H476)</f>
        <v>70</v>
      </c>
    </row>
    <row r="477" spans="1:14">
      <c r="A477" s="26" t="s">
        <v>2352</v>
      </c>
      <c r="B477" s="23" t="s">
        <v>2353</v>
      </c>
      <c r="C477" s="23" t="s">
        <v>2354</v>
      </c>
      <c r="D477" s="27">
        <v>137.07</v>
      </c>
      <c r="E477" s="27">
        <v>137.07</v>
      </c>
      <c r="F477" s="23">
        <v>1</v>
      </c>
      <c r="G477" s="27">
        <f>E477/F477</f>
        <v>137.07</v>
      </c>
      <c r="H477" s="59" t="s">
        <v>2128</v>
      </c>
      <c r="I477" s="23" t="s">
        <v>2355</v>
      </c>
      <c r="J477" s="23" t="s">
        <v>2356</v>
      </c>
      <c r="K477" s="23" t="s">
        <v>2357</v>
      </c>
      <c r="L477" s="44" t="s">
        <v>24</v>
      </c>
      <c r="M477" s="5">
        <f>COUNTIF($B$1:$B$1475, B477)</f>
        <v>1</v>
      </c>
      <c r="N477" s="5">
        <f>COUNTIF($H$2:$H$1465, H477)</f>
        <v>70</v>
      </c>
    </row>
    <row r="478" spans="1:14">
      <c r="A478" s="40" t="s">
        <v>2358</v>
      </c>
      <c r="B478" s="41" t="s">
        <v>2359</v>
      </c>
      <c r="C478" s="41" t="s">
        <v>2359</v>
      </c>
      <c r="D478" s="42">
        <v>93.21</v>
      </c>
      <c r="E478" s="42">
        <v>104.17</v>
      </c>
      <c r="F478" s="41">
        <v>3</v>
      </c>
      <c r="G478" s="42">
        <f>E478/F478</f>
        <v>34.723333333333336</v>
      </c>
      <c r="H478" s="58" t="s">
        <v>2128</v>
      </c>
      <c r="I478" s="41" t="s">
        <v>2360</v>
      </c>
      <c r="J478" s="41" t="s">
        <v>2361</v>
      </c>
      <c r="K478" s="41" t="s">
        <v>2362</v>
      </c>
      <c r="L478" s="43" t="s">
        <v>24</v>
      </c>
      <c r="M478" s="5">
        <f>COUNTIF($B$1:$B$1475, B478)</f>
        <v>1</v>
      </c>
      <c r="N478" s="5">
        <f>COUNTIF($H$2:$H$1465, H478)</f>
        <v>70</v>
      </c>
    </row>
    <row r="479" spans="1:14">
      <c r="A479" s="26" t="s">
        <v>2363</v>
      </c>
      <c r="B479" s="23" t="s">
        <v>2364</v>
      </c>
      <c r="C479" s="23" t="s">
        <v>2365</v>
      </c>
      <c r="D479" s="27">
        <v>65.790000000000006</v>
      </c>
      <c r="E479" s="27">
        <v>65.790000000000006</v>
      </c>
      <c r="F479" s="23">
        <v>1</v>
      </c>
      <c r="G479" s="27">
        <f>E479/F479</f>
        <v>65.790000000000006</v>
      </c>
      <c r="H479" s="59" t="s">
        <v>2128</v>
      </c>
      <c r="I479" s="23" t="s">
        <v>2366</v>
      </c>
      <c r="J479" s="23" t="s">
        <v>2367</v>
      </c>
      <c r="K479" s="23" t="s">
        <v>2368</v>
      </c>
      <c r="L479" s="44" t="s">
        <v>24</v>
      </c>
      <c r="M479" s="5">
        <f>COUNTIF($B$1:$B$1475, B479)</f>
        <v>1</v>
      </c>
      <c r="N479" s="5">
        <f>COUNTIF($H$2:$H$1465, H479)</f>
        <v>70</v>
      </c>
    </row>
    <row r="480" spans="1:14">
      <c r="A480" s="40" t="s">
        <v>2369</v>
      </c>
      <c r="B480" s="41" t="s">
        <v>2370</v>
      </c>
      <c r="C480" s="41" t="s">
        <v>2371</v>
      </c>
      <c r="D480" s="42">
        <v>219.31</v>
      </c>
      <c r="E480" s="42">
        <v>219.31</v>
      </c>
      <c r="F480" s="41">
        <v>1</v>
      </c>
      <c r="G480" s="42">
        <f>E480/F480</f>
        <v>219.31</v>
      </c>
      <c r="H480" s="58" t="s">
        <v>2128</v>
      </c>
      <c r="I480" s="41" t="s">
        <v>2372</v>
      </c>
      <c r="J480" s="41" t="s">
        <v>2373</v>
      </c>
      <c r="K480" s="41" t="s">
        <v>2374</v>
      </c>
      <c r="L480" s="43" t="s">
        <v>24</v>
      </c>
      <c r="M480" s="5">
        <f>COUNTIF($B$1:$B$1475, B480)</f>
        <v>1</v>
      </c>
      <c r="N480" s="5">
        <f>COUNTIF($H$2:$H$1465, H480)</f>
        <v>70</v>
      </c>
    </row>
    <row r="481" spans="1:14">
      <c r="A481" s="26" t="s">
        <v>2375</v>
      </c>
      <c r="B481" s="23" t="s">
        <v>555</v>
      </c>
      <c r="C481" s="23" t="s">
        <v>556</v>
      </c>
      <c r="D481" s="27">
        <v>202.87</v>
      </c>
      <c r="E481" s="27">
        <v>959.5</v>
      </c>
      <c r="F481" s="23">
        <v>9</v>
      </c>
      <c r="G481" s="27">
        <f>E481/F481</f>
        <v>106.61111111111111</v>
      </c>
      <c r="H481" s="59" t="s">
        <v>2128</v>
      </c>
      <c r="I481" s="23" t="s">
        <v>2376</v>
      </c>
      <c r="J481" s="23" t="s">
        <v>2377</v>
      </c>
      <c r="K481" s="23" t="s">
        <v>2378</v>
      </c>
      <c r="L481" s="44" t="s">
        <v>24</v>
      </c>
      <c r="M481" s="5">
        <f>COUNTIF($B$1:$B$1475, B481)</f>
        <v>8</v>
      </c>
      <c r="N481" s="5">
        <f>COUNTIF($H$2:$H$1465, H481)</f>
        <v>70</v>
      </c>
    </row>
    <row r="482" spans="1:14">
      <c r="A482" s="40" t="s">
        <v>2379</v>
      </c>
      <c r="B482" s="41" t="s">
        <v>485</v>
      </c>
      <c r="C482" s="41" t="s">
        <v>486</v>
      </c>
      <c r="D482" s="42">
        <v>126.11</v>
      </c>
      <c r="E482" s="42">
        <v>126.11</v>
      </c>
      <c r="F482" s="41">
        <v>1</v>
      </c>
      <c r="G482" s="42">
        <f>E482/F482</f>
        <v>126.11</v>
      </c>
      <c r="H482" s="58" t="s">
        <v>2128</v>
      </c>
      <c r="I482" s="41" t="s">
        <v>2380</v>
      </c>
      <c r="J482" s="41" t="s">
        <v>2381</v>
      </c>
      <c r="K482" s="41" t="s">
        <v>2382</v>
      </c>
      <c r="L482" s="43" t="s">
        <v>24</v>
      </c>
      <c r="M482" s="5">
        <f>COUNTIF($B$1:$B$1475, B482)</f>
        <v>2</v>
      </c>
      <c r="N482" s="5">
        <f>COUNTIF($H$2:$H$1465, H482)</f>
        <v>70</v>
      </c>
    </row>
    <row r="483" spans="1:14">
      <c r="A483" s="26" t="s">
        <v>2383</v>
      </c>
      <c r="B483" s="23" t="s">
        <v>2384</v>
      </c>
      <c r="C483" s="23" t="s">
        <v>2385</v>
      </c>
      <c r="D483" s="27">
        <v>82.24</v>
      </c>
      <c r="E483" s="27">
        <v>137.07</v>
      </c>
      <c r="F483" s="23">
        <v>2</v>
      </c>
      <c r="G483" s="27">
        <f>E483/F483</f>
        <v>68.534999999999997</v>
      </c>
      <c r="H483" s="59" t="s">
        <v>2128</v>
      </c>
      <c r="I483" s="23" t="s">
        <v>2386</v>
      </c>
      <c r="J483" s="23" t="s">
        <v>2387</v>
      </c>
      <c r="K483" s="23" t="s">
        <v>2388</v>
      </c>
      <c r="L483" s="44" t="s">
        <v>24</v>
      </c>
      <c r="M483" s="5">
        <f>COUNTIF($B$1:$B$1475, B483)</f>
        <v>1</v>
      </c>
      <c r="N483" s="5">
        <f>COUNTIF($H$2:$H$1465, H483)</f>
        <v>70</v>
      </c>
    </row>
    <row r="484" spans="1:14">
      <c r="A484" s="40" t="s">
        <v>2389</v>
      </c>
      <c r="B484" s="41" t="s">
        <v>199</v>
      </c>
      <c r="C484" s="41" t="s">
        <v>200</v>
      </c>
      <c r="D484" s="42">
        <v>145</v>
      </c>
      <c r="E484" s="42">
        <v>285</v>
      </c>
      <c r="F484" s="41">
        <v>6</v>
      </c>
      <c r="G484" s="42">
        <f>E484/F484</f>
        <v>47.5</v>
      </c>
      <c r="H484" s="58" t="s">
        <v>2128</v>
      </c>
      <c r="I484" s="41" t="s">
        <v>2390</v>
      </c>
      <c r="J484" s="41" t="s">
        <v>2391</v>
      </c>
      <c r="K484" s="41" t="s">
        <v>2392</v>
      </c>
      <c r="L484" s="43" t="s">
        <v>24</v>
      </c>
      <c r="M484" s="5">
        <f>COUNTIF($B$1:$B$1475, B484)</f>
        <v>2</v>
      </c>
      <c r="N484" s="5">
        <f>COUNTIF($H$2:$H$1465, H484)</f>
        <v>70</v>
      </c>
    </row>
    <row r="485" spans="1:14">
      <c r="A485" s="26" t="s">
        <v>2393</v>
      </c>
      <c r="B485" s="23" t="s">
        <v>2394</v>
      </c>
      <c r="C485" s="23" t="s">
        <v>2395</v>
      </c>
      <c r="D485" s="27">
        <v>120.62</v>
      </c>
      <c r="E485" s="27">
        <v>120.62</v>
      </c>
      <c r="F485" s="23">
        <v>1</v>
      </c>
      <c r="G485" s="27">
        <f>E485/F485</f>
        <v>120.62</v>
      </c>
      <c r="H485" s="59" t="s">
        <v>2128</v>
      </c>
      <c r="I485" s="23" t="s">
        <v>2396</v>
      </c>
      <c r="J485" s="23" t="s">
        <v>2397</v>
      </c>
      <c r="K485" s="23" t="s">
        <v>2398</v>
      </c>
      <c r="L485" s="44" t="s">
        <v>24</v>
      </c>
      <c r="M485" s="5">
        <f>COUNTIF($B$1:$B$1475, B485)</f>
        <v>1</v>
      </c>
      <c r="N485" s="5">
        <f>COUNTIF($H$2:$H$1465, H485)</f>
        <v>70</v>
      </c>
    </row>
    <row r="486" spans="1:14">
      <c r="A486" s="40" t="s">
        <v>2399</v>
      </c>
      <c r="B486" s="41" t="s">
        <v>2400</v>
      </c>
      <c r="C486" s="41" t="s">
        <v>2401</v>
      </c>
      <c r="D486" s="42">
        <v>115.14</v>
      </c>
      <c r="E486" s="42">
        <v>115.14</v>
      </c>
      <c r="F486" s="41">
        <v>1</v>
      </c>
      <c r="G486" s="42">
        <f>E486/F486</f>
        <v>115.14</v>
      </c>
      <c r="H486" s="58" t="s">
        <v>2128</v>
      </c>
      <c r="I486" s="41" t="s">
        <v>2402</v>
      </c>
      <c r="J486" s="41" t="s">
        <v>2403</v>
      </c>
      <c r="K486" s="41" t="s">
        <v>2404</v>
      </c>
      <c r="L486" s="43" t="s">
        <v>24</v>
      </c>
      <c r="M486" s="5">
        <f>COUNTIF($B$1:$B$1475, B486)</f>
        <v>1</v>
      </c>
      <c r="N486" s="5">
        <f>COUNTIF($H$2:$H$1465, H486)</f>
        <v>70</v>
      </c>
    </row>
    <row r="487" spans="1:14">
      <c r="A487" s="26" t="s">
        <v>2405</v>
      </c>
      <c r="B487" s="23" t="s">
        <v>2178</v>
      </c>
      <c r="C487" s="23" t="s">
        <v>2179</v>
      </c>
      <c r="D487" s="27">
        <v>104.17</v>
      </c>
      <c r="E487" s="27">
        <v>104.17</v>
      </c>
      <c r="F487" s="23">
        <v>1</v>
      </c>
      <c r="G487" s="27">
        <f>E487/F487</f>
        <v>104.17</v>
      </c>
      <c r="H487" s="59" t="s">
        <v>2128</v>
      </c>
      <c r="I487" s="23" t="s">
        <v>2406</v>
      </c>
      <c r="J487" s="23" t="s">
        <v>2407</v>
      </c>
      <c r="K487" s="23" t="s">
        <v>2408</v>
      </c>
      <c r="L487" s="44" t="s">
        <v>24</v>
      </c>
      <c r="M487" s="5">
        <f>COUNTIF($B$1:$B$1475, B487)</f>
        <v>7</v>
      </c>
      <c r="N487" s="5">
        <f>COUNTIF($H$2:$H$1465, H487)</f>
        <v>70</v>
      </c>
    </row>
    <row r="488" spans="1:14">
      <c r="A488" s="40" t="s">
        <v>2409</v>
      </c>
      <c r="B488" s="41" t="s">
        <v>206</v>
      </c>
      <c r="C488" s="41" t="s">
        <v>58</v>
      </c>
      <c r="D488" s="42">
        <v>104.17</v>
      </c>
      <c r="E488" s="42">
        <v>126.11</v>
      </c>
      <c r="F488" s="41">
        <v>2</v>
      </c>
      <c r="G488" s="42">
        <f>E488/F488</f>
        <v>63.055</v>
      </c>
      <c r="H488" s="58" t="s">
        <v>2128</v>
      </c>
      <c r="I488" s="41" t="s">
        <v>2410</v>
      </c>
      <c r="J488" s="41" t="s">
        <v>2411</v>
      </c>
      <c r="K488" s="41" t="s">
        <v>2412</v>
      </c>
      <c r="L488" s="43" t="s">
        <v>24</v>
      </c>
      <c r="M488" s="5">
        <f>COUNTIF($B$1:$B$1475, B488)</f>
        <v>13</v>
      </c>
      <c r="N488" s="5">
        <f>COUNTIF($H$2:$H$1465, H488)</f>
        <v>70</v>
      </c>
    </row>
    <row r="489" spans="1:14">
      <c r="A489" s="26" t="s">
        <v>2413</v>
      </c>
      <c r="B489" s="23" t="s">
        <v>2327</v>
      </c>
      <c r="C489" s="23" t="s">
        <v>2328</v>
      </c>
      <c r="D489" s="27">
        <v>104.17</v>
      </c>
      <c r="E489" s="27">
        <v>197.38</v>
      </c>
      <c r="F489" s="23">
        <v>2</v>
      </c>
      <c r="G489" s="27">
        <f>E489/F489</f>
        <v>98.69</v>
      </c>
      <c r="H489" s="59" t="s">
        <v>2128</v>
      </c>
      <c r="I489" s="23" t="s">
        <v>2414</v>
      </c>
      <c r="J489" s="23" t="s">
        <v>2415</v>
      </c>
      <c r="K489" s="23" t="s">
        <v>2416</v>
      </c>
      <c r="L489" s="44" t="s">
        <v>24</v>
      </c>
      <c r="M489" s="5">
        <f>COUNTIF($B$1:$B$1475, B489)</f>
        <v>2</v>
      </c>
      <c r="N489" s="5">
        <f>COUNTIF($H$2:$H$1465, H489)</f>
        <v>70</v>
      </c>
    </row>
    <row r="490" spans="1:14">
      <c r="A490" s="40" t="s">
        <v>2417</v>
      </c>
      <c r="B490" s="41" t="s">
        <v>2418</v>
      </c>
      <c r="C490" s="41" t="s">
        <v>2419</v>
      </c>
      <c r="D490" s="42">
        <v>104.17</v>
      </c>
      <c r="E490" s="42">
        <v>268.66000000000003</v>
      </c>
      <c r="F490" s="41">
        <v>16</v>
      </c>
      <c r="G490" s="42">
        <f>E490/F490</f>
        <v>16.791250000000002</v>
      </c>
      <c r="H490" s="58" t="s">
        <v>2128</v>
      </c>
      <c r="I490" s="41" t="s">
        <v>2420</v>
      </c>
      <c r="J490" s="41" t="s">
        <v>2421</v>
      </c>
      <c r="K490" s="41" t="s">
        <v>2422</v>
      </c>
      <c r="L490" s="43" t="s">
        <v>24</v>
      </c>
      <c r="M490" s="5">
        <f>COUNTIF($B$1:$B$1475, B490)</f>
        <v>1</v>
      </c>
      <c r="N490" s="5">
        <f>COUNTIF($H$2:$H$1465, H490)</f>
        <v>70</v>
      </c>
    </row>
    <row r="491" spans="1:14">
      <c r="A491" s="26" t="s">
        <v>2423</v>
      </c>
      <c r="B491" s="23" t="s">
        <v>1937</v>
      </c>
      <c r="C491" s="23" t="s">
        <v>1938</v>
      </c>
      <c r="D491" s="27">
        <v>93.21</v>
      </c>
      <c r="E491" s="27">
        <v>115.14</v>
      </c>
      <c r="F491" s="23">
        <v>2</v>
      </c>
      <c r="G491" s="27">
        <f>E491/F491</f>
        <v>57.57</v>
      </c>
      <c r="H491" s="59" t="s">
        <v>2128</v>
      </c>
      <c r="I491" s="23" t="s">
        <v>2424</v>
      </c>
      <c r="J491" s="23" t="s">
        <v>2425</v>
      </c>
      <c r="K491" s="23" t="s">
        <v>2036</v>
      </c>
      <c r="L491" s="44" t="s">
        <v>301</v>
      </c>
      <c r="M491" s="5">
        <f>COUNTIF($B$1:$B$1475, B491)</f>
        <v>3</v>
      </c>
      <c r="N491" s="5">
        <f>COUNTIF($H$2:$H$1465, H491)</f>
        <v>70</v>
      </c>
    </row>
    <row r="492" spans="1:14">
      <c r="A492" s="40" t="s">
        <v>2426</v>
      </c>
      <c r="B492" s="41" t="s">
        <v>2427</v>
      </c>
      <c r="C492" s="41" t="s">
        <v>2428</v>
      </c>
      <c r="D492" s="42">
        <v>93.21</v>
      </c>
      <c r="E492" s="42">
        <v>131.59</v>
      </c>
      <c r="F492" s="41">
        <v>3</v>
      </c>
      <c r="G492" s="42">
        <f>E492/F492</f>
        <v>43.863333333333337</v>
      </c>
      <c r="H492" s="58" t="s">
        <v>2128</v>
      </c>
      <c r="I492" s="41" t="s">
        <v>2429</v>
      </c>
      <c r="J492" s="41" t="s">
        <v>2430</v>
      </c>
      <c r="K492" s="41" t="s">
        <v>2431</v>
      </c>
      <c r="L492" s="43" t="s">
        <v>24</v>
      </c>
      <c r="M492" s="5">
        <f>COUNTIF($B$1:$B$1475, B492)</f>
        <v>1</v>
      </c>
      <c r="N492" s="5">
        <f>COUNTIF($H$2:$H$1465, H492)</f>
        <v>70</v>
      </c>
    </row>
    <row r="493" spans="1:14">
      <c r="A493" s="26" t="s">
        <v>2432</v>
      </c>
      <c r="B493" s="23" t="s">
        <v>2256</v>
      </c>
      <c r="C493" s="23" t="s">
        <v>2257</v>
      </c>
      <c r="D493" s="27">
        <v>54.83</v>
      </c>
      <c r="E493" s="27">
        <v>54.83</v>
      </c>
      <c r="F493" s="23">
        <v>1</v>
      </c>
      <c r="G493" s="27">
        <f>E493/F493</f>
        <v>54.83</v>
      </c>
      <c r="H493" s="59" t="s">
        <v>2128</v>
      </c>
      <c r="I493" s="23" t="s">
        <v>2433</v>
      </c>
      <c r="J493" s="23" t="s">
        <v>2434</v>
      </c>
      <c r="K493" s="23" t="s">
        <v>2435</v>
      </c>
      <c r="L493" s="44" t="s">
        <v>24</v>
      </c>
      <c r="M493" s="5">
        <f>COUNTIF($B$1:$B$1475, B493)</f>
        <v>4</v>
      </c>
      <c r="N493" s="5">
        <f>COUNTIF($H$2:$H$1465, H493)</f>
        <v>70</v>
      </c>
    </row>
    <row r="494" spans="1:14">
      <c r="A494" s="40" t="s">
        <v>2436</v>
      </c>
      <c r="B494" s="41" t="s">
        <v>2437</v>
      </c>
      <c r="C494" s="41" t="s">
        <v>2438</v>
      </c>
      <c r="D494" s="42">
        <v>104.17</v>
      </c>
      <c r="E494" s="42">
        <v>104.17</v>
      </c>
      <c r="F494" s="41">
        <v>1</v>
      </c>
      <c r="G494" s="42">
        <f>E494/F494</f>
        <v>104.17</v>
      </c>
      <c r="H494" s="58" t="s">
        <v>2128</v>
      </c>
      <c r="I494" s="41" t="s">
        <v>2439</v>
      </c>
      <c r="J494" s="41" t="s">
        <v>2440</v>
      </c>
      <c r="K494" s="41" t="s">
        <v>2441</v>
      </c>
      <c r="L494" s="43" t="s">
        <v>24</v>
      </c>
      <c r="M494" s="5">
        <f>COUNTIF($B$1:$B$1475, B494)</f>
        <v>1</v>
      </c>
      <c r="N494" s="5">
        <f>COUNTIF($H$2:$H$1465, H494)</f>
        <v>70</v>
      </c>
    </row>
    <row r="495" spans="1:14">
      <c r="A495" s="26" t="s">
        <v>2442</v>
      </c>
      <c r="B495" s="23" t="s">
        <v>994</v>
      </c>
      <c r="C495" s="23" t="s">
        <v>995</v>
      </c>
      <c r="D495" s="27">
        <v>93.21</v>
      </c>
      <c r="E495" s="27">
        <v>109.66</v>
      </c>
      <c r="F495" s="23">
        <v>2</v>
      </c>
      <c r="G495" s="27">
        <f>E495/F495</f>
        <v>54.83</v>
      </c>
      <c r="H495" s="59" t="s">
        <v>2128</v>
      </c>
      <c r="I495" s="23" t="s">
        <v>2443</v>
      </c>
      <c r="J495" s="23" t="s">
        <v>2444</v>
      </c>
      <c r="K495" s="23" t="s">
        <v>2445</v>
      </c>
      <c r="L495" s="44" t="s">
        <v>24</v>
      </c>
      <c r="M495" s="5">
        <f>COUNTIF($B$1:$B$1475, B495)</f>
        <v>3</v>
      </c>
      <c r="N495" s="5">
        <f>COUNTIF($H$2:$H$1465, H495)</f>
        <v>70</v>
      </c>
    </row>
    <row r="496" spans="1:14">
      <c r="A496" s="40" t="s">
        <v>2446</v>
      </c>
      <c r="B496" s="41" t="s">
        <v>2447</v>
      </c>
      <c r="C496" s="41" t="s">
        <v>2448</v>
      </c>
      <c r="D496" s="42">
        <v>109.66</v>
      </c>
      <c r="E496" s="42">
        <v>137.07</v>
      </c>
      <c r="F496" s="41">
        <v>4</v>
      </c>
      <c r="G496" s="42">
        <f>E496/F496</f>
        <v>34.267499999999998</v>
      </c>
      <c r="H496" s="58" t="s">
        <v>2128</v>
      </c>
      <c r="I496" s="41" t="s">
        <v>2449</v>
      </c>
      <c r="J496" s="41" t="s">
        <v>2450</v>
      </c>
      <c r="K496" s="41" t="s">
        <v>2451</v>
      </c>
      <c r="L496" s="43" t="s">
        <v>24</v>
      </c>
      <c r="M496" s="5">
        <f>COUNTIF($B$1:$B$1475, B496)</f>
        <v>1</v>
      </c>
      <c r="N496" s="5">
        <f>COUNTIF($H$2:$H$1465, H496)</f>
        <v>70</v>
      </c>
    </row>
    <row r="497" spans="1:14">
      <c r="A497" s="40" t="s">
        <v>2452</v>
      </c>
      <c r="B497" s="41" t="s">
        <v>1445</v>
      </c>
      <c r="C497" s="41" t="s">
        <v>1445</v>
      </c>
      <c r="D497" s="42">
        <v>1754.51</v>
      </c>
      <c r="E497" s="42">
        <v>2412.4499999999998</v>
      </c>
      <c r="F497" s="41">
        <v>5</v>
      </c>
      <c r="G497" s="42">
        <f>E497/F497</f>
        <v>482.48999999999995</v>
      </c>
      <c r="H497" s="58" t="s">
        <v>1446</v>
      </c>
      <c r="I497" s="41"/>
      <c r="J497" s="41" t="s">
        <v>1447</v>
      </c>
      <c r="K497" s="41"/>
      <c r="L497" s="43" t="s">
        <v>24</v>
      </c>
      <c r="M497" s="5">
        <f>COUNTIF($B$1:$B$1475, B497)</f>
        <v>6</v>
      </c>
      <c r="N497" s="5">
        <f>COUNTIF($H$2:$H$1465, H497)</f>
        <v>28</v>
      </c>
    </row>
    <row r="498" spans="1:14">
      <c r="A498" s="26" t="s">
        <v>2453</v>
      </c>
      <c r="B498" s="23" t="s">
        <v>1445</v>
      </c>
      <c r="C498" s="23" t="s">
        <v>1445</v>
      </c>
      <c r="D498" s="27">
        <v>1754.51</v>
      </c>
      <c r="E498" s="27">
        <v>2412.4499999999998</v>
      </c>
      <c r="F498" s="23">
        <v>5</v>
      </c>
      <c r="G498" s="27">
        <f>E498/F498</f>
        <v>482.48999999999995</v>
      </c>
      <c r="H498" s="59" t="s">
        <v>1446</v>
      </c>
      <c r="I498" s="23"/>
      <c r="J498" s="23" t="s">
        <v>1449</v>
      </c>
      <c r="K498" s="23"/>
      <c r="L498" s="44" t="s">
        <v>24</v>
      </c>
      <c r="M498" s="5">
        <f>COUNTIF($B$1:$B$1475, B498)</f>
        <v>6</v>
      </c>
      <c r="N498" s="5">
        <f>COUNTIF($H$2:$H$1465, H498)</f>
        <v>28</v>
      </c>
    </row>
    <row r="499" spans="1:14">
      <c r="A499" s="40" t="s">
        <v>2454</v>
      </c>
      <c r="B499" s="41" t="s">
        <v>1507</v>
      </c>
      <c r="C499" s="41" t="s">
        <v>1508</v>
      </c>
      <c r="D499" s="42">
        <v>82.24</v>
      </c>
      <c r="E499" s="42">
        <v>82.24</v>
      </c>
      <c r="F499" s="41">
        <v>1</v>
      </c>
      <c r="G499" s="42">
        <f>E499/F499</f>
        <v>82.24</v>
      </c>
      <c r="H499" s="58" t="s">
        <v>1446</v>
      </c>
      <c r="I499" s="41" t="s">
        <v>2455</v>
      </c>
      <c r="J499" s="41" t="s">
        <v>2456</v>
      </c>
      <c r="K499" s="41" t="s">
        <v>2457</v>
      </c>
      <c r="L499" s="43" t="s">
        <v>24</v>
      </c>
      <c r="M499" s="5">
        <f>COUNTIF($B$1:$B$1475, B499)</f>
        <v>7</v>
      </c>
      <c r="N499" s="5">
        <f>COUNTIF($H$2:$H$1465, H499)</f>
        <v>28</v>
      </c>
    </row>
    <row r="500" spans="1:14">
      <c r="A500" s="26" t="s">
        <v>2458</v>
      </c>
      <c r="B500" s="23" t="s">
        <v>1507</v>
      </c>
      <c r="C500" s="23" t="s">
        <v>1508</v>
      </c>
      <c r="D500" s="27">
        <v>82.24</v>
      </c>
      <c r="E500" s="27">
        <v>82.24</v>
      </c>
      <c r="F500" s="23">
        <v>1</v>
      </c>
      <c r="G500" s="27">
        <f>E500/F500</f>
        <v>82.24</v>
      </c>
      <c r="H500" s="59" t="s">
        <v>1446</v>
      </c>
      <c r="I500" s="23" t="s">
        <v>2459</v>
      </c>
      <c r="J500" s="23" t="s">
        <v>2460</v>
      </c>
      <c r="K500" s="23" t="s">
        <v>2461</v>
      </c>
      <c r="L500" s="44" t="s">
        <v>24</v>
      </c>
      <c r="M500" s="5">
        <f>COUNTIF($B$1:$B$1475, B500)</f>
        <v>7</v>
      </c>
      <c r="N500" s="5">
        <f>COUNTIF($H$2:$H$1465, H500)</f>
        <v>28</v>
      </c>
    </row>
    <row r="501" spans="1:14">
      <c r="A501" s="40" t="s">
        <v>2462</v>
      </c>
      <c r="B501" s="41" t="s">
        <v>2463</v>
      </c>
      <c r="C501" s="41" t="s">
        <v>2395</v>
      </c>
      <c r="D501" s="42">
        <v>120.62</v>
      </c>
      <c r="E501" s="42">
        <v>120.62</v>
      </c>
      <c r="F501" s="41">
        <v>1</v>
      </c>
      <c r="G501" s="42">
        <f>E501/F501</f>
        <v>120.62</v>
      </c>
      <c r="H501" s="58" t="s">
        <v>1446</v>
      </c>
      <c r="I501" s="41" t="s">
        <v>2464</v>
      </c>
      <c r="J501" s="41" t="s">
        <v>2465</v>
      </c>
      <c r="K501" s="41" t="s">
        <v>2466</v>
      </c>
      <c r="L501" s="43" t="s">
        <v>24</v>
      </c>
      <c r="M501" s="5">
        <f>COUNTIF($B$1:$B$1475, B501)</f>
        <v>1</v>
      </c>
      <c r="N501" s="5">
        <f>COUNTIF($H$2:$H$1465, H501)</f>
        <v>28</v>
      </c>
    </row>
    <row r="502" spans="1:14">
      <c r="A502" s="26" t="s">
        <v>2467</v>
      </c>
      <c r="B502" s="23" t="s">
        <v>1507</v>
      </c>
      <c r="C502" s="23" t="s">
        <v>1508</v>
      </c>
      <c r="D502" s="27">
        <v>82.24</v>
      </c>
      <c r="E502" s="27">
        <v>82.24</v>
      </c>
      <c r="F502" s="23">
        <v>1</v>
      </c>
      <c r="G502" s="27">
        <f>E502/F502</f>
        <v>82.24</v>
      </c>
      <c r="H502" s="59" t="s">
        <v>1446</v>
      </c>
      <c r="I502" s="23" t="s">
        <v>2468</v>
      </c>
      <c r="J502" s="23" t="s">
        <v>2469</v>
      </c>
      <c r="K502" s="23" t="s">
        <v>2470</v>
      </c>
      <c r="L502" s="44" t="s">
        <v>24</v>
      </c>
      <c r="M502" s="5">
        <f>COUNTIF($B$1:$B$1475, B502)</f>
        <v>7</v>
      </c>
      <c r="N502" s="5">
        <f>COUNTIF($H$2:$H$1465, H502)</f>
        <v>28</v>
      </c>
    </row>
    <row r="503" spans="1:14">
      <c r="A503" s="40" t="s">
        <v>2471</v>
      </c>
      <c r="B503" s="41" t="s">
        <v>731</v>
      </c>
      <c r="C503" s="41" t="s">
        <v>732</v>
      </c>
      <c r="D503" s="42">
        <v>137.07</v>
      </c>
      <c r="E503" s="42">
        <v>137.07</v>
      </c>
      <c r="F503" s="41">
        <v>1</v>
      </c>
      <c r="G503" s="42">
        <f>E503/F503</f>
        <v>137.07</v>
      </c>
      <c r="H503" s="58" t="s">
        <v>1446</v>
      </c>
      <c r="I503" s="41" t="s">
        <v>2472</v>
      </c>
      <c r="J503" s="41" t="s">
        <v>2473</v>
      </c>
      <c r="K503" s="41" t="s">
        <v>2474</v>
      </c>
      <c r="L503" s="43" t="s">
        <v>24</v>
      </c>
      <c r="M503" s="5">
        <f>COUNTIF($B$1:$B$1475, B503)</f>
        <v>3</v>
      </c>
      <c r="N503" s="5">
        <f>COUNTIF($H$2:$H$1465, H503)</f>
        <v>28</v>
      </c>
    </row>
    <row r="504" spans="1:14">
      <c r="A504" s="40" t="s">
        <v>2475</v>
      </c>
      <c r="B504" s="41" t="s">
        <v>2476</v>
      </c>
      <c r="C504" s="41" t="s">
        <v>2477</v>
      </c>
      <c r="D504" s="42">
        <v>262.58999999999997</v>
      </c>
      <c r="E504" s="42">
        <v>1800.21</v>
      </c>
      <c r="F504" s="41">
        <v>19</v>
      </c>
      <c r="G504" s="42">
        <f>E504/F504</f>
        <v>94.747894736842113</v>
      </c>
      <c r="H504" s="58" t="s">
        <v>2478</v>
      </c>
      <c r="I504" s="41" t="s">
        <v>2479</v>
      </c>
      <c r="J504" s="41" t="s">
        <v>2480</v>
      </c>
      <c r="K504" s="41" t="s">
        <v>2481</v>
      </c>
      <c r="L504" s="43" t="s">
        <v>301</v>
      </c>
      <c r="M504" s="5">
        <f>COUNTIF($B$1:$B$1475, B504)</f>
        <v>1</v>
      </c>
      <c r="N504" s="5">
        <f>COUNTIF($H$2:$H$1465, H504)</f>
        <v>11</v>
      </c>
    </row>
    <row r="505" spans="1:14">
      <c r="A505" s="26" t="s">
        <v>2482</v>
      </c>
      <c r="B505" s="23" t="s">
        <v>504</v>
      </c>
      <c r="C505" s="23" t="s">
        <v>505</v>
      </c>
      <c r="D505" s="27">
        <v>136.79</v>
      </c>
      <c r="E505" s="27">
        <v>186.04</v>
      </c>
      <c r="F505" s="23">
        <v>4</v>
      </c>
      <c r="G505" s="28">
        <f>E505/F505</f>
        <v>46.51</v>
      </c>
      <c r="H505" s="55" t="s">
        <v>2478</v>
      </c>
      <c r="I505" s="23" t="s">
        <v>2483</v>
      </c>
      <c r="J505" s="23" t="s">
        <v>2484</v>
      </c>
      <c r="K505" s="23" t="s">
        <v>2485</v>
      </c>
      <c r="L505" s="29" t="s">
        <v>24</v>
      </c>
      <c r="M505" s="5">
        <f>COUNTIF($B$1:$B$1475, B505)</f>
        <v>3</v>
      </c>
      <c r="N505" s="5">
        <f>COUNTIF($H$2:$H$1465, H505)</f>
        <v>11</v>
      </c>
    </row>
    <row r="506" spans="1:14">
      <c r="A506" s="40" t="s">
        <v>2486</v>
      </c>
      <c r="B506" s="41" t="s">
        <v>65</v>
      </c>
      <c r="C506" s="41" t="s">
        <v>58</v>
      </c>
      <c r="D506" s="42">
        <v>92.31</v>
      </c>
      <c r="E506" s="42">
        <v>103.16</v>
      </c>
      <c r="F506" s="41">
        <v>2</v>
      </c>
      <c r="G506" s="45">
        <f>E506/F506</f>
        <v>51.58</v>
      </c>
      <c r="H506" s="60" t="s">
        <v>2487</v>
      </c>
      <c r="I506" s="41" t="s">
        <v>2488</v>
      </c>
      <c r="J506" s="41" t="s">
        <v>2489</v>
      </c>
      <c r="K506" s="41" t="s">
        <v>230</v>
      </c>
      <c r="L506" s="46" t="s">
        <v>24</v>
      </c>
      <c r="M506" s="5">
        <f>COUNTIF($B$1:$B$1475, B506)</f>
        <v>35</v>
      </c>
      <c r="N506" s="5">
        <f>COUNTIF($H$2:$H$1465, H506)</f>
        <v>27</v>
      </c>
    </row>
    <row r="507" spans="1:14">
      <c r="A507" s="26" t="s">
        <v>2490</v>
      </c>
      <c r="B507" s="23" t="s">
        <v>1589</v>
      </c>
      <c r="C507" s="23" t="s">
        <v>1590</v>
      </c>
      <c r="D507" s="27">
        <v>86.88</v>
      </c>
      <c r="E507" s="27">
        <v>141.16999999999999</v>
      </c>
      <c r="F507" s="23">
        <v>19</v>
      </c>
      <c r="G507" s="28">
        <f>E507/F507</f>
        <v>7.43</v>
      </c>
      <c r="H507" s="55" t="s">
        <v>2487</v>
      </c>
      <c r="I507" s="23" t="s">
        <v>2491</v>
      </c>
      <c r="J507" s="23" t="s">
        <v>2492</v>
      </c>
      <c r="K507" s="23" t="s">
        <v>2493</v>
      </c>
      <c r="L507" s="29" t="s">
        <v>301</v>
      </c>
      <c r="M507" s="5">
        <f>COUNTIF($B$1:$B$1475, B507)</f>
        <v>2</v>
      </c>
      <c r="N507" s="5">
        <f>COUNTIF($H$2:$H$1465, H507)</f>
        <v>27</v>
      </c>
    </row>
    <row r="508" spans="1:14">
      <c r="A508" s="40" t="s">
        <v>2494</v>
      </c>
      <c r="B508" s="41" t="s">
        <v>2495</v>
      </c>
      <c r="C508" s="41" t="s">
        <v>2496</v>
      </c>
      <c r="D508" s="42">
        <v>65.16</v>
      </c>
      <c r="E508" s="42">
        <v>206.33</v>
      </c>
      <c r="F508" s="41">
        <v>4</v>
      </c>
      <c r="G508" s="45">
        <f>E508/F508</f>
        <v>51.582500000000003</v>
      </c>
      <c r="H508" s="60" t="s">
        <v>2487</v>
      </c>
      <c r="I508" s="41" t="s">
        <v>2497</v>
      </c>
      <c r="J508" s="41" t="s">
        <v>2498</v>
      </c>
      <c r="K508" s="41" t="s">
        <v>2499</v>
      </c>
      <c r="L508" s="46" t="s">
        <v>24</v>
      </c>
      <c r="M508" s="5">
        <f>COUNTIF($B$1:$B$1475, B508)</f>
        <v>1</v>
      </c>
      <c r="N508" s="5">
        <f>COUNTIF($H$2:$H$1465, H508)</f>
        <v>27</v>
      </c>
    </row>
    <row r="509" spans="1:14">
      <c r="A509" s="26" t="s">
        <v>2500</v>
      </c>
      <c r="B509" s="23" t="s">
        <v>1770</v>
      </c>
      <c r="C509" s="23" t="s">
        <v>1771</v>
      </c>
      <c r="D509" s="27">
        <v>135.74</v>
      </c>
      <c r="E509" s="27">
        <v>2171.89</v>
      </c>
      <c r="F509" s="23">
        <v>54</v>
      </c>
      <c r="G509" s="28">
        <f>E509/F509</f>
        <v>40.22018518518518</v>
      </c>
      <c r="H509" s="55" t="s">
        <v>2487</v>
      </c>
      <c r="I509" s="23" t="s">
        <v>2501</v>
      </c>
      <c r="J509" s="23" t="s">
        <v>2502</v>
      </c>
      <c r="K509" s="23" t="s">
        <v>2503</v>
      </c>
      <c r="L509" s="29" t="s">
        <v>24</v>
      </c>
      <c r="M509" s="5">
        <f>COUNTIF($B$1:$B$1475, B509)</f>
        <v>2</v>
      </c>
      <c r="N509" s="5">
        <f>COUNTIF($H$2:$H$1465, H509)</f>
        <v>27</v>
      </c>
    </row>
    <row r="510" spans="1:14">
      <c r="A510" s="40" t="s">
        <v>2504</v>
      </c>
      <c r="B510" s="41" t="s">
        <v>1190</v>
      </c>
      <c r="C510" s="41" t="s">
        <v>1191</v>
      </c>
      <c r="D510" s="42">
        <v>97.73</v>
      </c>
      <c r="E510" s="42">
        <v>114.02</v>
      </c>
      <c r="F510" s="41">
        <v>2</v>
      </c>
      <c r="G510" s="45">
        <f>E510/F510</f>
        <v>57.01</v>
      </c>
      <c r="H510" s="60" t="s">
        <v>2487</v>
      </c>
      <c r="I510" s="41" t="s">
        <v>2505</v>
      </c>
      <c r="J510" s="41" t="s">
        <v>2506</v>
      </c>
      <c r="K510" s="41" t="s">
        <v>2507</v>
      </c>
      <c r="L510" s="46" t="s">
        <v>24</v>
      </c>
      <c r="M510" s="5">
        <f>COUNTIF($B$1:$B$1475, B510)</f>
        <v>3</v>
      </c>
      <c r="N510" s="5">
        <f>COUNTIF($H$2:$H$1465, H510)</f>
        <v>27</v>
      </c>
    </row>
    <row r="511" spans="1:14">
      <c r="A511" s="26" t="s">
        <v>2508</v>
      </c>
      <c r="B511" s="23" t="s">
        <v>2038</v>
      </c>
      <c r="C511" s="23" t="s">
        <v>2039</v>
      </c>
      <c r="D511" s="27">
        <v>92.31</v>
      </c>
      <c r="E511" s="27">
        <v>103.16</v>
      </c>
      <c r="F511" s="23">
        <v>2</v>
      </c>
      <c r="G511" s="28">
        <f>E511/F511</f>
        <v>51.58</v>
      </c>
      <c r="H511" s="55" t="s">
        <v>2487</v>
      </c>
      <c r="I511" s="23" t="s">
        <v>2509</v>
      </c>
      <c r="J511" s="23" t="s">
        <v>2510</v>
      </c>
      <c r="K511" s="23" t="s">
        <v>2511</v>
      </c>
      <c r="L511" s="29" t="s">
        <v>24</v>
      </c>
      <c r="M511" s="5">
        <f>COUNTIF($B$1:$B$1475, B511)</f>
        <v>3</v>
      </c>
      <c r="N511" s="5">
        <f>COUNTIF($H$2:$H$1465, H511)</f>
        <v>27</v>
      </c>
    </row>
    <row r="512" spans="1:14">
      <c r="A512" s="40" t="s">
        <v>2512</v>
      </c>
      <c r="B512" s="41" t="s">
        <v>2044</v>
      </c>
      <c r="C512" s="41" t="s">
        <v>2045</v>
      </c>
      <c r="D512" s="42">
        <v>86.88</v>
      </c>
      <c r="E512" s="42">
        <v>97.73</v>
      </c>
      <c r="F512" s="41">
        <v>2</v>
      </c>
      <c r="G512" s="45">
        <f>E512/F512</f>
        <v>48.865000000000002</v>
      </c>
      <c r="H512" s="60" t="s">
        <v>2487</v>
      </c>
      <c r="I512" s="41" t="s">
        <v>2513</v>
      </c>
      <c r="J512" s="41" t="s">
        <v>2514</v>
      </c>
      <c r="K512" s="41" t="s">
        <v>2515</v>
      </c>
      <c r="L512" s="46" t="s">
        <v>24</v>
      </c>
      <c r="M512" s="5">
        <f>COUNTIF($B$1:$B$1475, B512)</f>
        <v>2</v>
      </c>
      <c r="N512" s="5">
        <f>COUNTIF($H$2:$H$1465, H512)</f>
        <v>27</v>
      </c>
    </row>
    <row r="513" spans="1:14">
      <c r="A513" s="26" t="s">
        <v>2516</v>
      </c>
      <c r="B513" s="23" t="s">
        <v>2517</v>
      </c>
      <c r="C513" s="23" t="s">
        <v>2518</v>
      </c>
      <c r="D513" s="27">
        <v>48.87</v>
      </c>
      <c r="E513" s="27">
        <v>304.06</v>
      </c>
      <c r="F513" s="23">
        <v>8</v>
      </c>
      <c r="G513" s="28">
        <f>E513/F513</f>
        <v>38.0075</v>
      </c>
      <c r="H513" s="55" t="s">
        <v>2487</v>
      </c>
      <c r="I513" s="23" t="s">
        <v>2519</v>
      </c>
      <c r="J513" s="23" t="s">
        <v>2520</v>
      </c>
      <c r="K513" s="23" t="s">
        <v>2521</v>
      </c>
      <c r="L513" s="29" t="s">
        <v>24</v>
      </c>
      <c r="M513" s="5">
        <f>COUNTIF($B$1:$B$1475, B513)</f>
        <v>1</v>
      </c>
      <c r="N513" s="5">
        <f>COUNTIF($H$2:$H$1465, H513)</f>
        <v>27</v>
      </c>
    </row>
    <row r="514" spans="1:14">
      <c r="A514" s="40" t="s">
        <v>2522</v>
      </c>
      <c r="B514" s="41" t="s">
        <v>352</v>
      </c>
      <c r="C514" s="41" t="s">
        <v>353</v>
      </c>
      <c r="D514" s="42">
        <v>124.88</v>
      </c>
      <c r="E514" s="42">
        <v>124.88</v>
      </c>
      <c r="F514" s="41">
        <v>2</v>
      </c>
      <c r="G514" s="45">
        <f>E514/F514</f>
        <v>62.44</v>
      </c>
      <c r="H514" s="60" t="s">
        <v>2487</v>
      </c>
      <c r="I514" s="41" t="s">
        <v>2523</v>
      </c>
      <c r="J514" s="41" t="s">
        <v>2524</v>
      </c>
      <c r="K514" s="41" t="s">
        <v>2525</v>
      </c>
      <c r="L514" s="46" t="s">
        <v>24</v>
      </c>
      <c r="M514" s="5">
        <f>COUNTIF($B$1:$B$1475, B514)</f>
        <v>9</v>
      </c>
      <c r="N514" s="5">
        <f>COUNTIF($H$2:$H$1465, H514)</f>
        <v>27</v>
      </c>
    </row>
    <row r="515" spans="1:14">
      <c r="A515" s="26" t="s">
        <v>2526</v>
      </c>
      <c r="B515" s="23" t="s">
        <v>1501</v>
      </c>
      <c r="C515" s="23" t="s">
        <v>1502</v>
      </c>
      <c r="D515" s="27">
        <v>97.73</v>
      </c>
      <c r="E515" s="27">
        <v>97.73</v>
      </c>
      <c r="F515" s="23">
        <v>1</v>
      </c>
      <c r="G515" s="28">
        <f>E515/F515</f>
        <v>97.73</v>
      </c>
      <c r="H515" s="55" t="s">
        <v>2487</v>
      </c>
      <c r="I515" s="23" t="s">
        <v>2527</v>
      </c>
      <c r="J515" s="23" t="s">
        <v>2528</v>
      </c>
      <c r="K515" s="23" t="s">
        <v>2529</v>
      </c>
      <c r="L515" s="29" t="s">
        <v>24</v>
      </c>
      <c r="M515" s="5">
        <f>COUNTIF($B$1:$B$1475, B515)</f>
        <v>3</v>
      </c>
      <c r="N515" s="5">
        <f>COUNTIF($H$2:$H$1465, H515)</f>
        <v>27</v>
      </c>
    </row>
    <row r="516" spans="1:14">
      <c r="A516" s="40" t="s">
        <v>2530</v>
      </c>
      <c r="B516" s="41" t="s">
        <v>1029</v>
      </c>
      <c r="C516" s="41" t="s">
        <v>1029</v>
      </c>
      <c r="D516" s="42">
        <v>114.02</v>
      </c>
      <c r="E516" s="42">
        <v>114.02</v>
      </c>
      <c r="F516" s="41">
        <v>2</v>
      </c>
      <c r="G516" s="45">
        <f>E516/F516</f>
        <v>57.01</v>
      </c>
      <c r="H516" s="60" t="s">
        <v>2487</v>
      </c>
      <c r="I516" s="41" t="s">
        <v>2531</v>
      </c>
      <c r="J516" s="41" t="s">
        <v>2532</v>
      </c>
      <c r="K516" s="41" t="s">
        <v>2533</v>
      </c>
      <c r="L516" s="46" t="s">
        <v>24</v>
      </c>
      <c r="M516" s="5">
        <f>COUNTIF($B$1:$B$1475, B516)</f>
        <v>8</v>
      </c>
      <c r="N516" s="5">
        <f>COUNTIF($H$2:$H$1465, H516)</f>
        <v>27</v>
      </c>
    </row>
    <row r="517" spans="1:14">
      <c r="A517" s="26" t="s">
        <v>2534</v>
      </c>
      <c r="B517" s="23" t="s">
        <v>65</v>
      </c>
      <c r="C517" s="23" t="s">
        <v>58</v>
      </c>
      <c r="D517" s="27">
        <v>92.31</v>
      </c>
      <c r="E517" s="27">
        <v>103.16</v>
      </c>
      <c r="F517" s="23">
        <v>2</v>
      </c>
      <c r="G517" s="28">
        <f>E517/F517</f>
        <v>51.58</v>
      </c>
      <c r="H517" s="55" t="s">
        <v>2487</v>
      </c>
      <c r="I517" s="23" t="s">
        <v>2535</v>
      </c>
      <c r="J517" s="23" t="s">
        <v>2536</v>
      </c>
      <c r="K517" s="23" t="s">
        <v>2537</v>
      </c>
      <c r="L517" s="29" t="s">
        <v>24</v>
      </c>
      <c r="M517" s="5">
        <f>COUNTIF($B$1:$B$1475, B517)</f>
        <v>35</v>
      </c>
      <c r="N517" s="5">
        <f>COUNTIF($H$2:$H$1465, H517)</f>
        <v>27</v>
      </c>
    </row>
    <row r="518" spans="1:14">
      <c r="A518" s="40" t="s">
        <v>2538</v>
      </c>
      <c r="B518" s="41" t="s">
        <v>48</v>
      </c>
      <c r="C518" s="41" t="s">
        <v>49</v>
      </c>
      <c r="D518" s="42">
        <v>97.73</v>
      </c>
      <c r="E518" s="42">
        <v>173.75</v>
      </c>
      <c r="F518" s="41">
        <v>2</v>
      </c>
      <c r="G518" s="45">
        <f>E518/F518</f>
        <v>86.875</v>
      </c>
      <c r="H518" s="60" t="s">
        <v>2487</v>
      </c>
      <c r="I518" s="41" t="s">
        <v>2539</v>
      </c>
      <c r="J518" s="41" t="s">
        <v>2540</v>
      </c>
      <c r="K518" s="41" t="s">
        <v>2541</v>
      </c>
      <c r="L518" s="46" t="s">
        <v>24</v>
      </c>
      <c r="M518" s="5">
        <f>COUNTIF($B$1:$B$1475, B518)</f>
        <v>2</v>
      </c>
      <c r="N518" s="5">
        <f>COUNTIF($H$2:$H$1465, H518)</f>
        <v>27</v>
      </c>
    </row>
    <row r="519" spans="1:14">
      <c r="A519" s="26" t="s">
        <v>2542</v>
      </c>
      <c r="B519" s="23" t="s">
        <v>26</v>
      </c>
      <c r="C519" s="23" t="s">
        <v>27</v>
      </c>
      <c r="D519" s="27">
        <v>81.45</v>
      </c>
      <c r="E519" s="27">
        <v>81.45</v>
      </c>
      <c r="F519" s="23">
        <v>1</v>
      </c>
      <c r="G519" s="28">
        <f>E519/F519</f>
        <v>81.45</v>
      </c>
      <c r="H519" s="55" t="s">
        <v>2487</v>
      </c>
      <c r="I519" s="23" t="s">
        <v>2543</v>
      </c>
      <c r="J519" s="23" t="s">
        <v>2544</v>
      </c>
      <c r="K519" s="23" t="s">
        <v>2545</v>
      </c>
      <c r="L519" s="29" t="s">
        <v>24</v>
      </c>
      <c r="M519" s="5">
        <f>COUNTIF($B$1:$B$1475, B519)</f>
        <v>12</v>
      </c>
      <c r="N519" s="5">
        <f>COUNTIF($H$2:$H$1465, H519)</f>
        <v>27</v>
      </c>
    </row>
    <row r="520" spans="1:14">
      <c r="A520" s="40" t="s">
        <v>2546</v>
      </c>
      <c r="B520" s="41" t="s">
        <v>2547</v>
      </c>
      <c r="C520" s="41" t="s">
        <v>2548</v>
      </c>
      <c r="D520" s="42">
        <v>135.74</v>
      </c>
      <c r="E520" s="42">
        <v>135.74</v>
      </c>
      <c r="F520" s="41">
        <v>1</v>
      </c>
      <c r="G520" s="45">
        <f>E520/F520</f>
        <v>135.74</v>
      </c>
      <c r="H520" s="60" t="s">
        <v>2487</v>
      </c>
      <c r="I520" s="41" t="s">
        <v>2549</v>
      </c>
      <c r="J520" s="41" t="s">
        <v>2550</v>
      </c>
      <c r="K520" s="41" t="s">
        <v>2551</v>
      </c>
      <c r="L520" s="46" t="s">
        <v>24</v>
      </c>
      <c r="M520" s="5">
        <f>COUNTIF($B$1:$B$1475, B520)</f>
        <v>1</v>
      </c>
      <c r="N520" s="5">
        <f>COUNTIF($H$2:$H$1465, H520)</f>
        <v>27</v>
      </c>
    </row>
    <row r="521" spans="1:14">
      <c r="A521" s="26" t="s">
        <v>2552</v>
      </c>
      <c r="B521" s="23" t="s">
        <v>1140</v>
      </c>
      <c r="C521" s="23" t="s">
        <v>1141</v>
      </c>
      <c r="D521" s="27">
        <v>108.59</v>
      </c>
      <c r="E521" s="27">
        <v>108.59</v>
      </c>
      <c r="F521" s="23">
        <v>1</v>
      </c>
      <c r="G521" s="28">
        <f>E521/F521</f>
        <v>108.59</v>
      </c>
      <c r="H521" s="55" t="s">
        <v>2487</v>
      </c>
      <c r="I521" s="23" t="s">
        <v>2553</v>
      </c>
      <c r="J521" s="23" t="s">
        <v>2554</v>
      </c>
      <c r="K521" s="23" t="s">
        <v>2555</v>
      </c>
      <c r="L521" s="29" t="s">
        <v>24</v>
      </c>
      <c r="M521" s="5">
        <f>COUNTIF($B$1:$B$1475, B521)</f>
        <v>11</v>
      </c>
      <c r="N521" s="5">
        <f>COUNTIF($H$2:$H$1465, H521)</f>
        <v>27</v>
      </c>
    </row>
    <row r="522" spans="1:14">
      <c r="A522" s="40" t="s">
        <v>2556</v>
      </c>
      <c r="B522" s="41" t="s">
        <v>2557</v>
      </c>
      <c r="C522" s="41" t="s">
        <v>2558</v>
      </c>
      <c r="D522" s="42">
        <v>81.45</v>
      </c>
      <c r="E522" s="42">
        <v>526.67999999999995</v>
      </c>
      <c r="F522" s="41">
        <v>9</v>
      </c>
      <c r="G522" s="45">
        <f>E522/F522</f>
        <v>58.519999999999996</v>
      </c>
      <c r="H522" s="60" t="s">
        <v>2487</v>
      </c>
      <c r="I522" s="41" t="s">
        <v>2559</v>
      </c>
      <c r="J522" s="41" t="s">
        <v>2560</v>
      </c>
      <c r="K522" s="41" t="s">
        <v>2561</v>
      </c>
      <c r="L522" s="46" t="s">
        <v>24</v>
      </c>
      <c r="M522" s="5">
        <f>COUNTIF($B$1:$B$1475, B522)</f>
        <v>1</v>
      </c>
      <c r="N522" s="5">
        <f>COUNTIF($H$2:$H$1465, H522)</f>
        <v>27</v>
      </c>
    </row>
    <row r="523" spans="1:14">
      <c r="A523" s="47" t="s">
        <v>2562</v>
      </c>
      <c r="B523" s="48" t="s">
        <v>2563</v>
      </c>
      <c r="C523" s="48" t="s">
        <v>2564</v>
      </c>
      <c r="D523" s="49">
        <v>108.59</v>
      </c>
      <c r="E523" s="49">
        <v>271.49</v>
      </c>
      <c r="F523" s="48">
        <v>3</v>
      </c>
      <c r="G523" s="50">
        <f>E523/F523</f>
        <v>90.49666666666667</v>
      </c>
      <c r="H523" s="61" t="s">
        <v>2487</v>
      </c>
      <c r="I523" s="48" t="s">
        <v>2565</v>
      </c>
      <c r="J523" s="48" t="s">
        <v>2566</v>
      </c>
      <c r="K523" s="48" t="s">
        <v>2567</v>
      </c>
      <c r="L523" s="51" t="s">
        <v>24</v>
      </c>
      <c r="M523" s="5">
        <f>COUNTIF($B$1:$B$1475, B523)</f>
        <v>2</v>
      </c>
      <c r="N523" s="5">
        <f>COUNTIF($H$2:$H$1465, H523)</f>
        <v>27</v>
      </c>
    </row>
    <row r="524" spans="1:14">
      <c r="A524" s="40" t="s">
        <v>2568</v>
      </c>
      <c r="B524" s="41" t="s">
        <v>2227</v>
      </c>
      <c r="C524" s="41" t="s">
        <v>2228</v>
      </c>
      <c r="D524" s="42">
        <v>76.02</v>
      </c>
      <c r="E524" s="42">
        <v>103.16</v>
      </c>
      <c r="F524" s="41">
        <v>2</v>
      </c>
      <c r="G524" s="45">
        <f>E524/F524</f>
        <v>51.58</v>
      </c>
      <c r="H524" s="60" t="s">
        <v>2487</v>
      </c>
      <c r="I524" s="41" t="s">
        <v>2569</v>
      </c>
      <c r="J524" s="41" t="s">
        <v>2570</v>
      </c>
      <c r="K524" s="41" t="s">
        <v>2571</v>
      </c>
      <c r="L524" s="46" t="s">
        <v>24</v>
      </c>
      <c r="M524" s="5">
        <f>COUNTIF($B$1:$B$1475, B524)</f>
        <v>2</v>
      </c>
      <c r="N524" s="5">
        <f>COUNTIF($H$2:$H$1465, H524)</f>
        <v>27</v>
      </c>
    </row>
    <row r="525" spans="1:14">
      <c r="A525" s="26" t="s">
        <v>2572</v>
      </c>
      <c r="B525" s="23" t="s">
        <v>1000</v>
      </c>
      <c r="C525" s="23" t="s">
        <v>1001</v>
      </c>
      <c r="D525" s="27">
        <v>65.16</v>
      </c>
      <c r="E525" s="27">
        <v>157.46</v>
      </c>
      <c r="F525" s="23">
        <v>8</v>
      </c>
      <c r="G525" s="28">
        <f>E525/F525</f>
        <v>19.682500000000001</v>
      </c>
      <c r="H525" s="55" t="s">
        <v>2487</v>
      </c>
      <c r="I525" s="23" t="s">
        <v>2573</v>
      </c>
      <c r="J525" s="23" t="s">
        <v>2574</v>
      </c>
      <c r="K525" s="23" t="s">
        <v>2575</v>
      </c>
      <c r="L525" s="29" t="s">
        <v>24</v>
      </c>
      <c r="M525" s="5">
        <f>COUNTIF($B$1:$B$1475, B525)</f>
        <v>3</v>
      </c>
      <c r="N525" s="5">
        <f>COUNTIF($H$2:$H$1465, H525)</f>
        <v>27</v>
      </c>
    </row>
    <row r="526" spans="1:14">
      <c r="A526" s="40" t="s">
        <v>2576</v>
      </c>
      <c r="B526" s="41" t="s">
        <v>1050</v>
      </c>
      <c r="C526" s="41" t="s">
        <v>1051</v>
      </c>
      <c r="D526" s="42">
        <v>54.3</v>
      </c>
      <c r="E526" s="42">
        <v>135.74</v>
      </c>
      <c r="F526" s="41">
        <v>2</v>
      </c>
      <c r="G526" s="45">
        <f>E526/F526</f>
        <v>67.87</v>
      </c>
      <c r="H526" s="60" t="s">
        <v>2487</v>
      </c>
      <c r="I526" s="41" t="s">
        <v>2577</v>
      </c>
      <c r="J526" s="41" t="s">
        <v>2578</v>
      </c>
      <c r="K526" s="41" t="s">
        <v>2579</v>
      </c>
      <c r="L526" s="46" t="s">
        <v>24</v>
      </c>
      <c r="M526" s="5">
        <f>COUNTIF($B$1:$B$1475, B526)</f>
        <v>2</v>
      </c>
      <c r="N526" s="5">
        <f>COUNTIF($H$2:$H$1465, H526)</f>
        <v>27</v>
      </c>
    </row>
    <row r="527" spans="1:14">
      <c r="A527" s="26" t="s">
        <v>2580</v>
      </c>
      <c r="B527" s="23" t="s">
        <v>65</v>
      </c>
      <c r="C527" s="23" t="s">
        <v>58</v>
      </c>
      <c r="D527" s="27">
        <v>92.31</v>
      </c>
      <c r="E527" s="27">
        <v>103.16</v>
      </c>
      <c r="F527" s="23">
        <v>2</v>
      </c>
      <c r="G527" s="28">
        <f>E527/F527</f>
        <v>51.58</v>
      </c>
      <c r="H527" s="55" t="s">
        <v>2487</v>
      </c>
      <c r="I527" s="23" t="s">
        <v>2581</v>
      </c>
      <c r="J527" s="23" t="s">
        <v>2582</v>
      </c>
      <c r="K527" s="23" t="s">
        <v>1917</v>
      </c>
      <c r="L527" s="29" t="s">
        <v>24</v>
      </c>
      <c r="M527" s="5">
        <f>COUNTIF($B$1:$B$1475, B527)</f>
        <v>35</v>
      </c>
      <c r="N527" s="5">
        <f>COUNTIF($H$2:$H$1465, H527)</f>
        <v>27</v>
      </c>
    </row>
    <row r="528" spans="1:14">
      <c r="A528" s="40" t="s">
        <v>2583</v>
      </c>
      <c r="B528" s="41" t="s">
        <v>537</v>
      </c>
      <c r="C528" s="41" t="s">
        <v>538</v>
      </c>
      <c r="D528" s="42">
        <v>135.74</v>
      </c>
      <c r="E528" s="42">
        <v>950.2</v>
      </c>
      <c r="F528" s="41">
        <v>140</v>
      </c>
      <c r="G528" s="45">
        <f>E528/F528</f>
        <v>6.7871428571428574</v>
      </c>
      <c r="H528" s="60" t="s">
        <v>2487</v>
      </c>
      <c r="I528" s="41" t="s">
        <v>2584</v>
      </c>
      <c r="J528" s="41" t="s">
        <v>2585</v>
      </c>
      <c r="K528" s="41" t="s">
        <v>2586</v>
      </c>
      <c r="L528" s="46" t="s">
        <v>301</v>
      </c>
      <c r="M528" s="5">
        <f>COUNTIF($B$1:$B$1475, B528)</f>
        <v>3</v>
      </c>
      <c r="N528" s="5">
        <f>COUNTIF($H$2:$H$1465, H528)</f>
        <v>27</v>
      </c>
    </row>
    <row r="529" spans="1:14">
      <c r="A529" s="26" t="s">
        <v>2587</v>
      </c>
      <c r="B529" s="23" t="s">
        <v>171</v>
      </c>
      <c r="C529" s="23" t="s">
        <v>172</v>
      </c>
      <c r="D529" s="27">
        <v>119.45</v>
      </c>
      <c r="E529" s="27">
        <v>119.45</v>
      </c>
      <c r="F529" s="23">
        <v>1</v>
      </c>
      <c r="G529" s="28">
        <f>E529/F529</f>
        <v>119.45</v>
      </c>
      <c r="H529" s="55" t="s">
        <v>2487</v>
      </c>
      <c r="I529" s="23" t="s">
        <v>2588</v>
      </c>
      <c r="J529" s="23" t="s">
        <v>2589</v>
      </c>
      <c r="K529" s="23" t="s">
        <v>2590</v>
      </c>
      <c r="L529" s="29" t="s">
        <v>24</v>
      </c>
      <c r="M529" s="5">
        <f>COUNTIF($B$1:$B$1475, B529)</f>
        <v>2</v>
      </c>
      <c r="N529" s="5">
        <f>COUNTIF($H$2:$H$1465, H529)</f>
        <v>27</v>
      </c>
    </row>
    <row r="530" spans="1:14">
      <c r="A530" s="40" t="s">
        <v>2591</v>
      </c>
      <c r="B530" s="41" t="s">
        <v>2592</v>
      </c>
      <c r="C530" s="41" t="s">
        <v>2593</v>
      </c>
      <c r="D530" s="42">
        <v>114.02</v>
      </c>
      <c r="E530" s="42">
        <v>124.88</v>
      </c>
      <c r="F530" s="41">
        <v>2</v>
      </c>
      <c r="G530" s="45">
        <f>E530/F530</f>
        <v>62.44</v>
      </c>
      <c r="H530" s="60" t="s">
        <v>2487</v>
      </c>
      <c r="I530" s="41" t="s">
        <v>2594</v>
      </c>
      <c r="J530" s="41" t="s">
        <v>2595</v>
      </c>
      <c r="K530" s="41" t="s">
        <v>2596</v>
      </c>
      <c r="L530" s="46" t="s">
        <v>24</v>
      </c>
      <c r="M530" s="5">
        <f>COUNTIF($B$1:$B$1475, B530)</f>
        <v>1</v>
      </c>
      <c r="N530" s="5">
        <f>COUNTIF($H$2:$H$1465, H530)</f>
        <v>27</v>
      </c>
    </row>
    <row r="531" spans="1:14">
      <c r="A531" s="26" t="s">
        <v>2597</v>
      </c>
      <c r="B531" s="23" t="s">
        <v>2563</v>
      </c>
      <c r="C531" s="23" t="s">
        <v>2564</v>
      </c>
      <c r="D531" s="27">
        <v>97.73</v>
      </c>
      <c r="E531" s="27">
        <v>190.04</v>
      </c>
      <c r="F531" s="23">
        <v>3</v>
      </c>
      <c r="G531" s="28">
        <f>E531/F531</f>
        <v>63.346666666666664</v>
      </c>
      <c r="H531" s="55" t="s">
        <v>2487</v>
      </c>
      <c r="I531" s="23" t="s">
        <v>2598</v>
      </c>
      <c r="J531" s="23" t="s">
        <v>2599</v>
      </c>
      <c r="K531" s="23" t="s">
        <v>2600</v>
      </c>
      <c r="L531" s="29" t="s">
        <v>24</v>
      </c>
      <c r="M531" s="5">
        <f>COUNTIF($B$1:$B$1475, B531)</f>
        <v>2</v>
      </c>
      <c r="N531" s="5">
        <f>COUNTIF($H$2:$H$1465, H531)</f>
        <v>27</v>
      </c>
    </row>
    <row r="532" spans="1:14">
      <c r="A532" s="40" t="s">
        <v>2601</v>
      </c>
      <c r="B532" s="41" t="s">
        <v>268</v>
      </c>
      <c r="C532" s="41" t="s">
        <v>269</v>
      </c>
      <c r="D532" s="42">
        <v>97.73</v>
      </c>
      <c r="E532" s="42">
        <v>108.59</v>
      </c>
      <c r="F532" s="41">
        <v>2</v>
      </c>
      <c r="G532" s="45">
        <f>E532/F532</f>
        <v>54.295000000000002</v>
      </c>
      <c r="H532" s="60" t="s">
        <v>2478</v>
      </c>
      <c r="I532" s="41" t="s">
        <v>2602</v>
      </c>
      <c r="J532" s="41" t="s">
        <v>2603</v>
      </c>
      <c r="K532" s="41" t="s">
        <v>2604</v>
      </c>
      <c r="L532" s="46" t="s">
        <v>24</v>
      </c>
      <c r="M532" s="5">
        <f>COUNTIF($B$1:$B$1475, B532)</f>
        <v>12</v>
      </c>
      <c r="N532" s="5">
        <f>COUNTIF($H$2:$H$1465, H532)</f>
        <v>11</v>
      </c>
    </row>
    <row r="533" spans="1:14">
      <c r="A533" s="26" t="s">
        <v>2605</v>
      </c>
      <c r="B533" s="23" t="s">
        <v>268</v>
      </c>
      <c r="C533" s="23" t="s">
        <v>269</v>
      </c>
      <c r="D533" s="27">
        <v>97.73</v>
      </c>
      <c r="E533" s="27">
        <v>108.59</v>
      </c>
      <c r="F533" s="23">
        <v>2</v>
      </c>
      <c r="G533" s="28">
        <f>E533/F533</f>
        <v>54.295000000000002</v>
      </c>
      <c r="H533" s="55" t="s">
        <v>2478</v>
      </c>
      <c r="I533" s="23" t="s">
        <v>2606</v>
      </c>
      <c r="J533" s="23" t="s">
        <v>2607</v>
      </c>
      <c r="K533" s="23" t="s">
        <v>2608</v>
      </c>
      <c r="L533" s="29" t="s">
        <v>24</v>
      </c>
      <c r="M533" s="5">
        <f>COUNTIF($B$1:$B$1475, B533)</f>
        <v>12</v>
      </c>
      <c r="N533" s="5">
        <f>COUNTIF($H$2:$H$1465, H533)</f>
        <v>11</v>
      </c>
    </row>
    <row r="534" spans="1:14">
      <c r="A534" s="40" t="s">
        <v>2609</v>
      </c>
      <c r="B534" s="41" t="s">
        <v>268</v>
      </c>
      <c r="C534" s="41" t="s">
        <v>269</v>
      </c>
      <c r="D534" s="42">
        <v>97.73</v>
      </c>
      <c r="E534" s="42">
        <v>108.59</v>
      </c>
      <c r="F534" s="41">
        <v>2</v>
      </c>
      <c r="G534" s="45">
        <f>E534/F534</f>
        <v>54.295000000000002</v>
      </c>
      <c r="H534" s="60" t="s">
        <v>2478</v>
      </c>
      <c r="I534" s="41" t="s">
        <v>2610</v>
      </c>
      <c r="J534" s="41" t="s">
        <v>2611</v>
      </c>
      <c r="K534" s="41" t="s">
        <v>2612</v>
      </c>
      <c r="L534" s="46" t="s">
        <v>24</v>
      </c>
      <c r="M534" s="5">
        <f>COUNTIF($B$1:$B$1475, B534)</f>
        <v>12</v>
      </c>
      <c r="N534" s="5">
        <f>COUNTIF($H$2:$H$1465, H534)</f>
        <v>11</v>
      </c>
    </row>
    <row r="535" spans="1:14">
      <c r="A535" s="26" t="s">
        <v>2613</v>
      </c>
      <c r="B535" s="23" t="s">
        <v>268</v>
      </c>
      <c r="C535" s="23" t="s">
        <v>269</v>
      </c>
      <c r="D535" s="27">
        <v>97.73</v>
      </c>
      <c r="E535" s="27">
        <v>108.59</v>
      </c>
      <c r="F535" s="23">
        <v>2</v>
      </c>
      <c r="G535" s="28">
        <f>E535/F535</f>
        <v>54.295000000000002</v>
      </c>
      <c r="H535" s="55" t="s">
        <v>2478</v>
      </c>
      <c r="I535" s="23" t="s">
        <v>2614</v>
      </c>
      <c r="J535" s="23" t="s">
        <v>2615</v>
      </c>
      <c r="K535" s="23" t="s">
        <v>2616</v>
      </c>
      <c r="L535" s="29" t="s">
        <v>24</v>
      </c>
      <c r="M535" s="5">
        <f>COUNTIF($B$1:$B$1475, B535)</f>
        <v>12</v>
      </c>
      <c r="N535" s="5">
        <f>COUNTIF($H$2:$H$1465, H535)</f>
        <v>11</v>
      </c>
    </row>
    <row r="536" spans="1:14">
      <c r="A536" s="40" t="s">
        <v>2617</v>
      </c>
      <c r="B536" s="41" t="s">
        <v>65</v>
      </c>
      <c r="C536" s="41" t="s">
        <v>58</v>
      </c>
      <c r="D536" s="42">
        <v>92.31</v>
      </c>
      <c r="E536" s="42">
        <v>103.16</v>
      </c>
      <c r="F536" s="41">
        <v>2</v>
      </c>
      <c r="G536" s="45">
        <f>E536/F536</f>
        <v>51.58</v>
      </c>
      <c r="H536" s="60" t="s">
        <v>2478</v>
      </c>
      <c r="I536" s="41" t="s">
        <v>2618</v>
      </c>
      <c r="J536" s="41" t="s">
        <v>2619</v>
      </c>
      <c r="K536" s="41" t="s">
        <v>2620</v>
      </c>
      <c r="L536" s="46" t="s">
        <v>24</v>
      </c>
      <c r="M536" s="5">
        <f>COUNTIF($B$1:$B$1475, B536)</f>
        <v>35</v>
      </c>
      <c r="N536" s="5">
        <f>COUNTIF($H$2:$H$1465, H536)</f>
        <v>11</v>
      </c>
    </row>
    <row r="537" spans="1:14">
      <c r="A537" s="26" t="s">
        <v>2621</v>
      </c>
      <c r="B537" s="23" t="s">
        <v>57</v>
      </c>
      <c r="C537" s="23" t="s">
        <v>58</v>
      </c>
      <c r="D537" s="27">
        <v>103.16</v>
      </c>
      <c r="E537" s="27">
        <v>124.88</v>
      </c>
      <c r="F537" s="23">
        <v>2</v>
      </c>
      <c r="G537" s="28">
        <f>E537/F537</f>
        <v>62.44</v>
      </c>
      <c r="H537" s="55" t="s">
        <v>2478</v>
      </c>
      <c r="I537" s="23" t="s">
        <v>2622</v>
      </c>
      <c r="J537" s="23" t="s">
        <v>2623</v>
      </c>
      <c r="K537" s="23" t="s">
        <v>2624</v>
      </c>
      <c r="L537" s="29" t="s">
        <v>24</v>
      </c>
      <c r="M537" s="5">
        <f>COUNTIF($B$1:$B$1475, B537)</f>
        <v>7</v>
      </c>
      <c r="N537" s="5">
        <f>COUNTIF($H$2:$H$1465, H537)</f>
        <v>11</v>
      </c>
    </row>
    <row r="538" spans="1:14">
      <c r="A538" s="40" t="s">
        <v>2625</v>
      </c>
      <c r="B538" s="41" t="s">
        <v>65</v>
      </c>
      <c r="C538" s="41" t="s">
        <v>58</v>
      </c>
      <c r="D538" s="42">
        <v>92.31</v>
      </c>
      <c r="E538" s="42">
        <v>103.16</v>
      </c>
      <c r="F538" s="41">
        <v>2</v>
      </c>
      <c r="G538" s="45">
        <f>E538/F538</f>
        <v>51.58</v>
      </c>
      <c r="H538" s="60" t="s">
        <v>2478</v>
      </c>
      <c r="I538" s="41" t="s">
        <v>2626</v>
      </c>
      <c r="J538" s="41" t="s">
        <v>2627</v>
      </c>
      <c r="K538" s="41" t="s">
        <v>2620</v>
      </c>
      <c r="L538" s="46" t="s">
        <v>24</v>
      </c>
      <c r="M538" s="5">
        <f>COUNTIF($B$1:$B$1475, B538)</f>
        <v>35</v>
      </c>
      <c r="N538" s="5">
        <f>COUNTIF($H$2:$H$1465, H538)</f>
        <v>11</v>
      </c>
    </row>
    <row r="539" spans="1:14">
      <c r="A539" s="26" t="s">
        <v>2628</v>
      </c>
      <c r="B539" s="23" t="s">
        <v>206</v>
      </c>
      <c r="C539" s="23" t="s">
        <v>58</v>
      </c>
      <c r="D539" s="27">
        <v>103.16</v>
      </c>
      <c r="E539" s="27">
        <v>124.88</v>
      </c>
      <c r="F539" s="23">
        <v>2</v>
      </c>
      <c r="G539" s="28">
        <f>E539/F539</f>
        <v>62.44</v>
      </c>
      <c r="H539" s="55" t="s">
        <v>2478</v>
      </c>
      <c r="I539" s="23" t="s">
        <v>2629</v>
      </c>
      <c r="J539" s="23" t="s">
        <v>2630</v>
      </c>
      <c r="K539" s="23" t="s">
        <v>2631</v>
      </c>
      <c r="L539" s="29" t="s">
        <v>24</v>
      </c>
      <c r="M539" s="5">
        <f>COUNTIF($B$1:$B$1475, B539)</f>
        <v>13</v>
      </c>
      <c r="N539" s="5">
        <f>COUNTIF($H$2:$H$1465, H539)</f>
        <v>11</v>
      </c>
    </row>
    <row r="540" spans="1:14">
      <c r="A540" s="40" t="s">
        <v>2632</v>
      </c>
      <c r="B540" s="41" t="s">
        <v>268</v>
      </c>
      <c r="C540" s="41" t="s">
        <v>269</v>
      </c>
      <c r="D540" s="42">
        <v>97.73</v>
      </c>
      <c r="E540" s="42">
        <v>108.59</v>
      </c>
      <c r="F540" s="41">
        <v>2</v>
      </c>
      <c r="G540" s="45">
        <f>E540/F540</f>
        <v>54.295000000000002</v>
      </c>
      <c r="H540" s="60" t="s">
        <v>2478</v>
      </c>
      <c r="I540" s="41" t="s">
        <v>2633</v>
      </c>
      <c r="J540" s="41" t="s">
        <v>2634</v>
      </c>
      <c r="K540" s="41" t="s">
        <v>2635</v>
      </c>
      <c r="L540" s="46" t="s">
        <v>24</v>
      </c>
      <c r="M540" s="5">
        <f>COUNTIF($B$1:$B$1475, B540)</f>
        <v>12</v>
      </c>
      <c r="N540" s="5">
        <f>COUNTIF($H$2:$H$1465, H540)</f>
        <v>11</v>
      </c>
    </row>
    <row r="541" spans="1:14">
      <c r="A541" s="40" t="s">
        <v>2636</v>
      </c>
      <c r="B541" s="41" t="s">
        <v>320</v>
      </c>
      <c r="C541" s="41" t="s">
        <v>321</v>
      </c>
      <c r="D541" s="42">
        <v>151.63</v>
      </c>
      <c r="E541" s="42">
        <v>151.63</v>
      </c>
      <c r="F541" s="41">
        <v>1</v>
      </c>
      <c r="G541" s="45">
        <f>E541/F541</f>
        <v>151.63</v>
      </c>
      <c r="H541" s="60" t="s">
        <v>2637</v>
      </c>
      <c r="I541" s="41" t="s">
        <v>2638</v>
      </c>
      <c r="J541" s="41" t="s">
        <v>2639</v>
      </c>
      <c r="K541" s="41" t="s">
        <v>2640</v>
      </c>
      <c r="L541" s="46" t="s">
        <v>301</v>
      </c>
      <c r="M541" s="5">
        <f>COUNTIF($B$1:$B$1475, B541)</f>
        <v>4</v>
      </c>
      <c r="N541" s="5">
        <f>COUNTIF($H$2:$H$1465, H541)</f>
        <v>73</v>
      </c>
    </row>
    <row r="542" spans="1:14">
      <c r="A542" s="26" t="s">
        <v>2641</v>
      </c>
      <c r="B542" s="23" t="s">
        <v>2642</v>
      </c>
      <c r="C542" s="23" t="s">
        <v>2643</v>
      </c>
      <c r="D542" s="27">
        <v>102.89</v>
      </c>
      <c r="E542" s="27">
        <v>113.73</v>
      </c>
      <c r="F542" s="23">
        <v>2</v>
      </c>
      <c r="G542" s="28">
        <f>E542/F542</f>
        <v>56.865000000000002</v>
      </c>
      <c r="H542" s="55" t="s">
        <v>2637</v>
      </c>
      <c r="I542" s="23" t="s">
        <v>2644</v>
      </c>
      <c r="J542" s="23" t="s">
        <v>2645</v>
      </c>
      <c r="K542" s="23" t="s">
        <v>2646</v>
      </c>
      <c r="L542" s="29" t="s">
        <v>24</v>
      </c>
      <c r="M542" s="5">
        <f>COUNTIF($B$1:$B$1475, B542)</f>
        <v>1</v>
      </c>
      <c r="N542" s="5">
        <f>COUNTIF($H$2:$H$1465, H542)</f>
        <v>73</v>
      </c>
    </row>
    <row r="543" spans="1:14">
      <c r="A543" s="40" t="s">
        <v>2647</v>
      </c>
      <c r="B543" s="41" t="s">
        <v>2648</v>
      </c>
      <c r="C543" s="41" t="s">
        <v>2649</v>
      </c>
      <c r="D543" s="42">
        <v>974.79</v>
      </c>
      <c r="E543" s="42">
        <v>974.79</v>
      </c>
      <c r="F543" s="41">
        <v>1</v>
      </c>
      <c r="G543" s="45">
        <f>E543/F543</f>
        <v>974.79</v>
      </c>
      <c r="H543" s="60" t="s">
        <v>2637</v>
      </c>
      <c r="I543" s="41" t="s">
        <v>2650</v>
      </c>
      <c r="J543" s="41" t="s">
        <v>2651</v>
      </c>
      <c r="K543" s="41" t="s">
        <v>2652</v>
      </c>
      <c r="L543" s="46" t="s">
        <v>301</v>
      </c>
      <c r="M543" s="5">
        <f>COUNTIF($B$1:$B$1475, B543)</f>
        <v>2</v>
      </c>
      <c r="N543" s="5">
        <f>COUNTIF($H$2:$H$1465, H543)</f>
        <v>73</v>
      </c>
    </row>
    <row r="544" spans="1:14">
      <c r="A544" s="26" t="s">
        <v>2653</v>
      </c>
      <c r="B544" s="23" t="s">
        <v>1029</v>
      </c>
      <c r="C544" s="23" t="s">
        <v>1029</v>
      </c>
      <c r="D544" s="27">
        <v>113.73</v>
      </c>
      <c r="E544" s="27">
        <v>113.73</v>
      </c>
      <c r="F544" s="23">
        <v>2</v>
      </c>
      <c r="G544" s="28">
        <f>E544/F544</f>
        <v>56.865000000000002</v>
      </c>
      <c r="H544" s="55" t="s">
        <v>2637</v>
      </c>
      <c r="I544" s="23" t="s">
        <v>2654</v>
      </c>
      <c r="J544" s="23" t="s">
        <v>2655</v>
      </c>
      <c r="K544" s="23" t="s">
        <v>2656</v>
      </c>
      <c r="L544" s="29" t="s">
        <v>24</v>
      </c>
      <c r="M544" s="5">
        <f>COUNTIF($B$1:$B$1475, B544)</f>
        <v>8</v>
      </c>
      <c r="N544" s="5">
        <f>COUNTIF($H$2:$H$1465, H544)</f>
        <v>73</v>
      </c>
    </row>
    <row r="545" spans="1:14">
      <c r="A545" s="40" t="s">
        <v>2657</v>
      </c>
      <c r="B545" s="41" t="s">
        <v>65</v>
      </c>
      <c r="C545" s="41" t="s">
        <v>58</v>
      </c>
      <c r="D545" s="42">
        <v>92.06</v>
      </c>
      <c r="E545" s="42">
        <v>102.89</v>
      </c>
      <c r="F545" s="41">
        <v>2</v>
      </c>
      <c r="G545" s="45">
        <f>E545/F545</f>
        <v>51.445</v>
      </c>
      <c r="H545" s="60" t="s">
        <v>2637</v>
      </c>
      <c r="I545" s="41" t="s">
        <v>2658</v>
      </c>
      <c r="J545" s="41" t="s">
        <v>2659</v>
      </c>
      <c r="K545" s="41" t="s">
        <v>1917</v>
      </c>
      <c r="L545" s="46" t="s">
        <v>24</v>
      </c>
      <c r="M545" s="5">
        <f>COUNTIF($B$1:$B$1475, B545)</f>
        <v>35</v>
      </c>
      <c r="N545" s="5">
        <f>COUNTIF($H$2:$H$1465, H545)</f>
        <v>73</v>
      </c>
    </row>
    <row r="546" spans="1:14">
      <c r="A546" s="26" t="s">
        <v>2660</v>
      </c>
      <c r="B546" s="23" t="s">
        <v>442</v>
      </c>
      <c r="C546" s="23" t="s">
        <v>443</v>
      </c>
      <c r="D546" s="27">
        <v>86.65</v>
      </c>
      <c r="E546" s="27">
        <v>119.14</v>
      </c>
      <c r="F546" s="23">
        <v>2</v>
      </c>
      <c r="G546" s="28">
        <f>E546/F546</f>
        <v>59.57</v>
      </c>
      <c r="H546" s="55" t="s">
        <v>2637</v>
      </c>
      <c r="I546" s="23" t="s">
        <v>2661</v>
      </c>
      <c r="J546" s="23" t="s">
        <v>2662</v>
      </c>
      <c r="K546" s="23" t="s">
        <v>2663</v>
      </c>
      <c r="L546" s="29" t="s">
        <v>24</v>
      </c>
      <c r="M546" s="5">
        <f>COUNTIF($B$1:$B$1475, B546)</f>
        <v>3</v>
      </c>
      <c r="N546" s="5">
        <f>COUNTIF($H$2:$H$1465, H546)</f>
        <v>73</v>
      </c>
    </row>
    <row r="547" spans="1:14">
      <c r="A547" s="40" t="s">
        <v>2664</v>
      </c>
      <c r="B547" s="41" t="s">
        <v>352</v>
      </c>
      <c r="C547" s="41" t="s">
        <v>353</v>
      </c>
      <c r="D547" s="42">
        <v>113.73</v>
      </c>
      <c r="E547" s="42">
        <v>113.73</v>
      </c>
      <c r="F547" s="41">
        <v>2</v>
      </c>
      <c r="G547" s="45">
        <f>E547/F547</f>
        <v>56.865000000000002</v>
      </c>
      <c r="H547" s="60" t="s">
        <v>2637</v>
      </c>
      <c r="I547" s="41" t="s">
        <v>2665</v>
      </c>
      <c r="J547" s="41" t="s">
        <v>2666</v>
      </c>
      <c r="K547" s="41" t="s">
        <v>2667</v>
      </c>
      <c r="L547" s="46" t="s">
        <v>24</v>
      </c>
      <c r="M547" s="5">
        <f>COUNTIF($B$1:$B$1475, B547)</f>
        <v>9</v>
      </c>
      <c r="N547" s="5">
        <f>COUNTIF($H$2:$H$1465, H547)</f>
        <v>73</v>
      </c>
    </row>
    <row r="548" spans="1:14">
      <c r="A548" s="26" t="s">
        <v>2668</v>
      </c>
      <c r="B548" s="23" t="s">
        <v>2669</v>
      </c>
      <c r="C548" s="23" t="s">
        <v>2670</v>
      </c>
      <c r="D548" s="27">
        <v>102.89</v>
      </c>
      <c r="E548" s="27">
        <v>102.89</v>
      </c>
      <c r="F548" s="23">
        <v>1</v>
      </c>
      <c r="G548" s="28">
        <f>E548/F548</f>
        <v>102.89</v>
      </c>
      <c r="H548" s="55" t="s">
        <v>2637</v>
      </c>
      <c r="I548" s="23" t="s">
        <v>2671</v>
      </c>
      <c r="J548" s="23" t="s">
        <v>2672</v>
      </c>
      <c r="K548" s="23" t="s">
        <v>2673</v>
      </c>
      <c r="L548" s="29" t="s">
        <v>24</v>
      </c>
      <c r="M548" s="5">
        <f>COUNTIF($B$1:$B$1475, B548)</f>
        <v>1</v>
      </c>
      <c r="N548" s="5">
        <f>COUNTIF($H$2:$H$1465, H548)</f>
        <v>73</v>
      </c>
    </row>
    <row r="549" spans="1:14">
      <c r="A549" s="40" t="s">
        <v>2674</v>
      </c>
      <c r="B549" s="41" t="s">
        <v>65</v>
      </c>
      <c r="C549" s="41" t="s">
        <v>58</v>
      </c>
      <c r="D549" s="42">
        <v>92.06</v>
      </c>
      <c r="E549" s="42">
        <v>102.89</v>
      </c>
      <c r="F549" s="41">
        <v>2</v>
      </c>
      <c r="G549" s="45">
        <f>E549/F549</f>
        <v>51.445</v>
      </c>
      <c r="H549" s="60" t="s">
        <v>2637</v>
      </c>
      <c r="I549" s="41" t="s">
        <v>2675</v>
      </c>
      <c r="J549" s="41" t="s">
        <v>2676</v>
      </c>
      <c r="K549" s="41" t="s">
        <v>2677</v>
      </c>
      <c r="L549" s="46" t="s">
        <v>24</v>
      </c>
      <c r="M549" s="5">
        <f>COUNTIF($B$1:$B$1475, B549)</f>
        <v>35</v>
      </c>
      <c r="N549" s="5">
        <f>COUNTIF($H$2:$H$1465, H549)</f>
        <v>73</v>
      </c>
    </row>
    <row r="550" spans="1:14">
      <c r="A550" s="26" t="s">
        <v>2678</v>
      </c>
      <c r="B550" s="23" t="s">
        <v>71</v>
      </c>
      <c r="C550" s="23" t="s">
        <v>72</v>
      </c>
      <c r="D550" s="27">
        <v>135.38999999999999</v>
      </c>
      <c r="E550" s="27">
        <v>135.38999999999999</v>
      </c>
      <c r="F550" s="23">
        <v>1</v>
      </c>
      <c r="G550" s="28">
        <f>E550/F550</f>
        <v>135.38999999999999</v>
      </c>
      <c r="H550" s="55" t="s">
        <v>2637</v>
      </c>
      <c r="I550" s="23" t="s">
        <v>2679</v>
      </c>
      <c r="J550" s="23" t="s">
        <v>2680</v>
      </c>
      <c r="K550" s="23" t="s">
        <v>2681</v>
      </c>
      <c r="L550" s="29" t="s">
        <v>24</v>
      </c>
      <c r="M550" s="5">
        <f>COUNTIF($B$1:$B$1475, B550)</f>
        <v>2</v>
      </c>
      <c r="N550" s="5">
        <f>COUNTIF($H$2:$H$1465, H550)</f>
        <v>73</v>
      </c>
    </row>
    <row r="551" spans="1:14">
      <c r="A551" s="40" t="s">
        <v>2682</v>
      </c>
      <c r="B551" s="41" t="s">
        <v>2683</v>
      </c>
      <c r="C551" s="41" t="s">
        <v>2684</v>
      </c>
      <c r="D551" s="42">
        <v>54.1</v>
      </c>
      <c r="E551" s="42">
        <v>54.1</v>
      </c>
      <c r="F551" s="41">
        <v>1</v>
      </c>
      <c r="G551" s="45">
        <f>E551/F551</f>
        <v>54.1</v>
      </c>
      <c r="H551" s="60" t="s">
        <v>2637</v>
      </c>
      <c r="I551" s="41" t="s">
        <v>2685</v>
      </c>
      <c r="J551" s="41" t="s">
        <v>2686</v>
      </c>
      <c r="K551" s="41" t="s">
        <v>2687</v>
      </c>
      <c r="L551" s="46" t="s">
        <v>24</v>
      </c>
      <c r="M551" s="5">
        <f>COUNTIF($B$1:$B$1475, B551)</f>
        <v>1</v>
      </c>
      <c r="N551" s="5">
        <f>COUNTIF($H$2:$H$1465, H551)</f>
        <v>73</v>
      </c>
    </row>
    <row r="552" spans="1:14">
      <c r="A552" s="26" t="s">
        <v>2688</v>
      </c>
      <c r="B552" s="23" t="s">
        <v>65</v>
      </c>
      <c r="C552" s="23" t="s">
        <v>58</v>
      </c>
      <c r="D552" s="27">
        <v>92.06</v>
      </c>
      <c r="E552" s="27">
        <v>102.89</v>
      </c>
      <c r="F552" s="23">
        <v>2</v>
      </c>
      <c r="G552" s="28">
        <f>E552/F552</f>
        <v>51.445</v>
      </c>
      <c r="H552" s="55" t="s">
        <v>2637</v>
      </c>
      <c r="I552" s="23" t="s">
        <v>2689</v>
      </c>
      <c r="J552" s="23" t="s">
        <v>2690</v>
      </c>
      <c r="K552" s="23" t="s">
        <v>1917</v>
      </c>
      <c r="L552" s="29" t="s">
        <v>24</v>
      </c>
      <c r="M552" s="5">
        <f>COUNTIF($B$1:$B$1475, B552)</f>
        <v>35</v>
      </c>
      <c r="N552" s="5">
        <f>COUNTIF($H$2:$H$1465, H552)</f>
        <v>73</v>
      </c>
    </row>
    <row r="553" spans="1:14">
      <c r="A553" s="40" t="s">
        <v>2691</v>
      </c>
      <c r="B553" s="41" t="s">
        <v>65</v>
      </c>
      <c r="C553" s="41" t="s">
        <v>58</v>
      </c>
      <c r="D553" s="42">
        <v>92.06</v>
      </c>
      <c r="E553" s="42">
        <v>102.89</v>
      </c>
      <c r="F553" s="41">
        <v>2</v>
      </c>
      <c r="G553" s="45">
        <f>E553/F553</f>
        <v>51.445</v>
      </c>
      <c r="H553" s="60" t="s">
        <v>2637</v>
      </c>
      <c r="I553" s="41" t="s">
        <v>2692</v>
      </c>
      <c r="J553" s="41" t="s">
        <v>2693</v>
      </c>
      <c r="K553" s="41" t="s">
        <v>1917</v>
      </c>
      <c r="L553" s="46" t="s">
        <v>24</v>
      </c>
      <c r="M553" s="5">
        <f>COUNTIF($B$1:$B$1475, B553)</f>
        <v>35</v>
      </c>
      <c r="N553" s="5">
        <f>COUNTIF($H$2:$H$1465, H553)</f>
        <v>73</v>
      </c>
    </row>
    <row r="554" spans="1:14">
      <c r="A554" s="26" t="s">
        <v>2694</v>
      </c>
      <c r="B554" s="23" t="s">
        <v>65</v>
      </c>
      <c r="C554" s="23" t="s">
        <v>58</v>
      </c>
      <c r="D554" s="27">
        <v>92.06</v>
      </c>
      <c r="E554" s="27">
        <v>102.89</v>
      </c>
      <c r="F554" s="23">
        <v>2</v>
      </c>
      <c r="G554" s="28">
        <f>E554/F554</f>
        <v>51.445</v>
      </c>
      <c r="H554" s="55" t="s">
        <v>2637</v>
      </c>
      <c r="I554" s="23" t="s">
        <v>2695</v>
      </c>
      <c r="J554" s="23" t="s">
        <v>2696</v>
      </c>
      <c r="K554" s="23" t="s">
        <v>1917</v>
      </c>
      <c r="L554" s="29" t="s">
        <v>24</v>
      </c>
      <c r="M554" s="5">
        <f>COUNTIF($B$1:$B$1475, B554)</f>
        <v>35</v>
      </c>
      <c r="N554" s="5">
        <f>COUNTIF($H$2:$H$1465, H554)</f>
        <v>73</v>
      </c>
    </row>
    <row r="555" spans="1:14">
      <c r="A555" s="40" t="s">
        <v>2697</v>
      </c>
      <c r="B555" s="41" t="s">
        <v>2698</v>
      </c>
      <c r="C555" s="41" t="s">
        <v>2699</v>
      </c>
      <c r="D555" s="42">
        <v>54.16</v>
      </c>
      <c r="E555" s="42">
        <v>633.61</v>
      </c>
      <c r="F555" s="41">
        <v>14</v>
      </c>
      <c r="G555" s="45">
        <f>E555/F555</f>
        <v>45.257857142857141</v>
      </c>
      <c r="H555" s="60" t="s">
        <v>2637</v>
      </c>
      <c r="I555" s="41" t="s">
        <v>2700</v>
      </c>
      <c r="J555" s="41" t="s">
        <v>2701</v>
      </c>
      <c r="K555" s="41" t="s">
        <v>2702</v>
      </c>
      <c r="L555" s="46" t="s">
        <v>24</v>
      </c>
      <c r="M555" s="5">
        <f>COUNTIF($B$1:$B$1475, B555)</f>
        <v>1</v>
      </c>
      <c r="N555" s="5">
        <f>COUNTIF($H$2:$H$1465, H555)</f>
        <v>73</v>
      </c>
    </row>
    <row r="556" spans="1:14">
      <c r="A556" s="26" t="s">
        <v>2703</v>
      </c>
      <c r="B556" s="23" t="s">
        <v>26</v>
      </c>
      <c r="C556" s="23" t="s">
        <v>27</v>
      </c>
      <c r="D556" s="27">
        <v>81.23</v>
      </c>
      <c r="E556" s="27">
        <v>81.23</v>
      </c>
      <c r="F556" s="23">
        <v>1</v>
      </c>
      <c r="G556" s="28">
        <f>E556/F556</f>
        <v>81.23</v>
      </c>
      <c r="H556" s="55" t="s">
        <v>2637</v>
      </c>
      <c r="I556" s="23" t="s">
        <v>2704</v>
      </c>
      <c r="J556" s="23" t="s">
        <v>2705</v>
      </c>
      <c r="K556" s="23" t="s">
        <v>2706</v>
      </c>
      <c r="L556" s="29" t="s">
        <v>24</v>
      </c>
      <c r="M556" s="5">
        <f>COUNTIF($B$1:$B$1475, B556)</f>
        <v>12</v>
      </c>
      <c r="N556" s="5">
        <f>COUNTIF($H$2:$H$1465, H556)</f>
        <v>73</v>
      </c>
    </row>
    <row r="557" spans="1:14">
      <c r="A557" s="40" t="s">
        <v>2707</v>
      </c>
      <c r="B557" s="41" t="s">
        <v>555</v>
      </c>
      <c r="C557" s="41" t="s">
        <v>556</v>
      </c>
      <c r="D557" s="42">
        <v>200.37</v>
      </c>
      <c r="E557" s="42">
        <v>243.7</v>
      </c>
      <c r="F557" s="41">
        <v>2</v>
      </c>
      <c r="G557" s="45">
        <f>E557/F557</f>
        <v>121.85</v>
      </c>
      <c r="H557" s="60" t="s">
        <v>2637</v>
      </c>
      <c r="I557" s="41" t="s">
        <v>2708</v>
      </c>
      <c r="J557" s="41" t="s">
        <v>2709</v>
      </c>
      <c r="K557" s="41" t="s">
        <v>2710</v>
      </c>
      <c r="L557" s="46" t="s">
        <v>24</v>
      </c>
      <c r="M557" s="5">
        <f>COUNTIF($B$1:$B$1475, B557)</f>
        <v>8</v>
      </c>
      <c r="N557" s="5">
        <f>COUNTIF($H$2:$H$1465, H557)</f>
        <v>73</v>
      </c>
    </row>
    <row r="558" spans="1:14">
      <c r="A558" s="26" t="s">
        <v>2711</v>
      </c>
      <c r="B558" s="23" t="s">
        <v>1743</v>
      </c>
      <c r="C558" s="23" t="s">
        <v>1477</v>
      </c>
      <c r="D558" s="27">
        <v>102.89</v>
      </c>
      <c r="E558" s="27">
        <v>113.73</v>
      </c>
      <c r="F558" s="23">
        <v>2</v>
      </c>
      <c r="G558" s="28">
        <f>E558/F558</f>
        <v>56.865000000000002</v>
      </c>
      <c r="H558" s="55" t="s">
        <v>2637</v>
      </c>
      <c r="I558" s="23" t="s">
        <v>2712</v>
      </c>
      <c r="J558" s="23" t="s">
        <v>2713</v>
      </c>
      <c r="K558" s="23" t="s">
        <v>2714</v>
      </c>
      <c r="L558" s="29" t="s">
        <v>24</v>
      </c>
      <c r="M558" s="5">
        <f>COUNTIF($B$1:$B$1475, B558)</f>
        <v>4</v>
      </c>
      <c r="N558" s="5">
        <f>COUNTIF($H$2:$H$1465, H558)</f>
        <v>73</v>
      </c>
    </row>
    <row r="559" spans="1:14">
      <c r="A559" s="63" t="s">
        <v>2715</v>
      </c>
      <c r="B559" s="64" t="s">
        <v>33</v>
      </c>
      <c r="C559" s="64" t="s">
        <v>34</v>
      </c>
      <c r="D559" s="65">
        <v>81.23</v>
      </c>
      <c r="E559" s="65">
        <v>81.23</v>
      </c>
      <c r="F559" s="64">
        <v>1</v>
      </c>
      <c r="G559" s="66">
        <f>E559/F559</f>
        <v>81.23</v>
      </c>
      <c r="H559" s="67" t="s">
        <v>2637</v>
      </c>
      <c r="I559" s="64" t="s">
        <v>2716</v>
      </c>
      <c r="J559" s="64" t="s">
        <v>2717</v>
      </c>
      <c r="K559" s="64" t="s">
        <v>2718</v>
      </c>
      <c r="L559" s="68" t="s">
        <v>24</v>
      </c>
      <c r="M559" s="5">
        <f>COUNTIF($B$1:$B$1475, B559)</f>
        <v>9</v>
      </c>
      <c r="N559" s="5">
        <f>COUNTIF($H$2:$H$1465, H559)</f>
        <v>73</v>
      </c>
    </row>
    <row r="560" spans="1:14">
      <c r="A560" s="26" t="s">
        <v>2719</v>
      </c>
      <c r="B560" s="23" t="s">
        <v>40</v>
      </c>
      <c r="C560" s="23" t="s">
        <v>41</v>
      </c>
      <c r="D560" s="27">
        <v>81.23</v>
      </c>
      <c r="E560" s="27">
        <v>92.06</v>
      </c>
      <c r="F560" s="23">
        <v>2</v>
      </c>
      <c r="G560" s="28">
        <f>E560/F560</f>
        <v>46.03</v>
      </c>
      <c r="H560" s="55" t="s">
        <v>2637</v>
      </c>
      <c r="I560" s="23" t="s">
        <v>2720</v>
      </c>
      <c r="J560" s="23" t="s">
        <v>2721</v>
      </c>
      <c r="K560" s="23" t="s">
        <v>2722</v>
      </c>
      <c r="L560" s="29" t="s">
        <v>24</v>
      </c>
      <c r="M560" s="5">
        <f>COUNTIF($B$1:$B$1475, B560)</f>
        <v>7</v>
      </c>
      <c r="N560" s="5">
        <f>COUNTIF($H$2:$H$1465, H560)</f>
        <v>73</v>
      </c>
    </row>
    <row r="561" spans="1:14">
      <c r="A561" s="40" t="s">
        <v>2723</v>
      </c>
      <c r="B561" s="41" t="s">
        <v>2724</v>
      </c>
      <c r="C561" s="41" t="s">
        <v>2725</v>
      </c>
      <c r="D561" s="42">
        <v>75.819999999999993</v>
      </c>
      <c r="E561" s="42">
        <v>406.16</v>
      </c>
      <c r="F561" s="41">
        <v>6</v>
      </c>
      <c r="G561" s="45">
        <f>E561/F561</f>
        <v>67.693333333333342</v>
      </c>
      <c r="H561" s="60" t="s">
        <v>2637</v>
      </c>
      <c r="I561" s="41" t="s">
        <v>2726</v>
      </c>
      <c r="J561" s="41" t="s">
        <v>2727</v>
      </c>
      <c r="K561" s="41" t="s">
        <v>2728</v>
      </c>
      <c r="L561" s="46" t="s">
        <v>24</v>
      </c>
      <c r="M561" s="5">
        <f>COUNTIF($B$1:$B$1475, B561)</f>
        <v>1</v>
      </c>
      <c r="N561" s="5">
        <f>COUNTIF($H$2:$H$1465, H561)</f>
        <v>73</v>
      </c>
    </row>
    <row r="562" spans="1:14">
      <c r="A562" s="26" t="s">
        <v>2729</v>
      </c>
      <c r="B562" s="23" t="s">
        <v>2648</v>
      </c>
      <c r="C562" s="23" t="s">
        <v>2649</v>
      </c>
      <c r="D562" s="27">
        <v>64.989999999999995</v>
      </c>
      <c r="E562" s="27">
        <v>1191.4100000000001</v>
      </c>
      <c r="F562" s="23">
        <v>141</v>
      </c>
      <c r="G562" s="28">
        <f>E562/F562</f>
        <v>8.4497163120567382</v>
      </c>
      <c r="H562" s="55" t="s">
        <v>2637</v>
      </c>
      <c r="I562" s="23" t="s">
        <v>2730</v>
      </c>
      <c r="J562" s="23" t="s">
        <v>2731</v>
      </c>
      <c r="K562" s="23" t="s">
        <v>2652</v>
      </c>
      <c r="L562" s="29" t="s">
        <v>301</v>
      </c>
      <c r="M562" s="5">
        <f>COUNTIF($B$1:$B$1475, B562)</f>
        <v>2</v>
      </c>
      <c r="N562" s="5">
        <f>COUNTIF($H$2:$H$1465, H562)</f>
        <v>73</v>
      </c>
    </row>
    <row r="563" spans="1:14">
      <c r="A563" s="40" t="s">
        <v>2732</v>
      </c>
      <c r="B563" s="41" t="s">
        <v>65</v>
      </c>
      <c r="C563" s="41" t="s">
        <v>58</v>
      </c>
      <c r="D563" s="42">
        <v>92.06</v>
      </c>
      <c r="E563" s="42">
        <v>102.89</v>
      </c>
      <c r="F563" s="41">
        <v>2</v>
      </c>
      <c r="G563" s="45">
        <f>E563/F563</f>
        <v>51.445</v>
      </c>
      <c r="H563" s="60" t="s">
        <v>2637</v>
      </c>
      <c r="I563" s="41" t="s">
        <v>2733</v>
      </c>
      <c r="J563" s="41" t="s">
        <v>2734</v>
      </c>
      <c r="K563" s="41" t="s">
        <v>1917</v>
      </c>
      <c r="L563" s="46" t="s">
        <v>24</v>
      </c>
      <c r="M563" s="5">
        <f>COUNTIF($B$1:$B$1475, B563)</f>
        <v>35</v>
      </c>
      <c r="N563" s="5">
        <f>COUNTIF($H$2:$H$1465, H563)</f>
        <v>73</v>
      </c>
    </row>
    <row r="564" spans="1:14">
      <c r="A564" s="26" t="s">
        <v>2735</v>
      </c>
      <c r="B564" s="23" t="s">
        <v>2736</v>
      </c>
      <c r="C564" s="23" t="s">
        <v>2736</v>
      </c>
      <c r="D564" s="27">
        <v>102.89</v>
      </c>
      <c r="E564" s="27">
        <v>102.89</v>
      </c>
      <c r="F564" s="23">
        <v>1</v>
      </c>
      <c r="G564" s="28">
        <f>E564/F564</f>
        <v>102.89</v>
      </c>
      <c r="H564" s="55" t="s">
        <v>2637</v>
      </c>
      <c r="I564" s="23" t="s">
        <v>2737</v>
      </c>
      <c r="J564" s="23" t="s">
        <v>2738</v>
      </c>
      <c r="K564" s="23" t="s">
        <v>2739</v>
      </c>
      <c r="L564" s="29" t="s">
        <v>24</v>
      </c>
      <c r="M564" s="5">
        <f>COUNTIF($B$1:$B$1475, B564)</f>
        <v>1</v>
      </c>
      <c r="N564" s="5">
        <f>COUNTIF($H$2:$H$1465, H564)</f>
        <v>73</v>
      </c>
    </row>
    <row r="565" spans="1:14">
      <c r="A565" s="40" t="s">
        <v>2740</v>
      </c>
      <c r="B565" s="41" t="s">
        <v>2741</v>
      </c>
      <c r="C565" s="41" t="s">
        <v>2742</v>
      </c>
      <c r="D565" s="42">
        <v>81.23</v>
      </c>
      <c r="E565" s="42">
        <v>81.23</v>
      </c>
      <c r="F565" s="41">
        <v>1</v>
      </c>
      <c r="G565" s="45">
        <f>E565/F565</f>
        <v>81.23</v>
      </c>
      <c r="H565" s="60" t="s">
        <v>2637</v>
      </c>
      <c r="I565" s="41" t="s">
        <v>2743</v>
      </c>
      <c r="J565" s="41" t="s">
        <v>2744</v>
      </c>
      <c r="K565" s="41" t="s">
        <v>2745</v>
      </c>
      <c r="L565" s="46" t="s">
        <v>24</v>
      </c>
      <c r="M565" s="5">
        <f>COUNTIF($B$1:$B$1475, B565)</f>
        <v>1</v>
      </c>
      <c r="N565" s="5">
        <f>COUNTIF($H$2:$H$1465, H565)</f>
        <v>73</v>
      </c>
    </row>
    <row r="566" spans="1:14">
      <c r="A566" s="26" t="s">
        <v>2746</v>
      </c>
      <c r="B566" s="23" t="s">
        <v>2747</v>
      </c>
      <c r="C566" s="23" t="s">
        <v>2748</v>
      </c>
      <c r="D566" s="27">
        <v>102.89</v>
      </c>
      <c r="E566" s="27">
        <v>102.89</v>
      </c>
      <c r="F566" s="23">
        <v>1</v>
      </c>
      <c r="G566" s="28">
        <f>E566/F566</f>
        <v>102.89</v>
      </c>
      <c r="H566" s="55" t="s">
        <v>2637</v>
      </c>
      <c r="I566" s="23" t="s">
        <v>2749</v>
      </c>
      <c r="J566" s="23" t="s">
        <v>2750</v>
      </c>
      <c r="K566" s="23" t="s">
        <v>2751</v>
      </c>
      <c r="L566" s="29" t="s">
        <v>24</v>
      </c>
      <c r="M566" s="5">
        <f>COUNTIF($B$1:$B$1475, B566)</f>
        <v>1</v>
      </c>
      <c r="N566" s="5">
        <f>COUNTIF($H$2:$H$1465, H566)</f>
        <v>73</v>
      </c>
    </row>
    <row r="567" spans="1:14">
      <c r="A567" s="40" t="s">
        <v>2752</v>
      </c>
      <c r="B567" s="41" t="s">
        <v>2753</v>
      </c>
      <c r="C567" s="41" t="s">
        <v>2754</v>
      </c>
      <c r="D567" s="42">
        <v>86.65</v>
      </c>
      <c r="E567" s="42">
        <v>86.65</v>
      </c>
      <c r="F567" s="41">
        <v>1</v>
      </c>
      <c r="G567" s="45">
        <f>E567/F567</f>
        <v>86.65</v>
      </c>
      <c r="H567" s="60" t="s">
        <v>2637</v>
      </c>
      <c r="I567" s="41" t="s">
        <v>2755</v>
      </c>
      <c r="J567" s="41" t="s">
        <v>2756</v>
      </c>
      <c r="K567" s="41" t="s">
        <v>2757</v>
      </c>
      <c r="L567" s="46" t="s">
        <v>24</v>
      </c>
      <c r="M567" s="5">
        <f>COUNTIF($B$1:$B$1475, B567)</f>
        <v>6</v>
      </c>
      <c r="N567" s="5">
        <f>COUNTIF($H$2:$H$1465, H567)</f>
        <v>73</v>
      </c>
    </row>
    <row r="568" spans="1:14">
      <c r="A568" s="26" t="s">
        <v>2758</v>
      </c>
      <c r="B568" s="23" t="s">
        <v>2759</v>
      </c>
      <c r="C568" s="23" t="s">
        <v>2759</v>
      </c>
      <c r="D568" s="27">
        <v>216.62</v>
      </c>
      <c r="E568" s="27">
        <v>1261.81</v>
      </c>
      <c r="F568" s="23">
        <v>9</v>
      </c>
      <c r="G568" s="28">
        <f>E568/F568</f>
        <v>140.20111111111112</v>
      </c>
      <c r="H568" s="55" t="s">
        <v>2637</v>
      </c>
      <c r="I568" s="23"/>
      <c r="J568" s="23" t="s">
        <v>2760</v>
      </c>
      <c r="K568" s="23" t="s">
        <v>2761</v>
      </c>
      <c r="L568" s="29" t="s">
        <v>24</v>
      </c>
      <c r="M568" s="5">
        <f>COUNTIF($B$1:$B$1475, B568)</f>
        <v>1</v>
      </c>
      <c r="N568" s="5">
        <f>COUNTIF($H$2:$H$1465, H568)</f>
        <v>73</v>
      </c>
    </row>
    <row r="569" spans="1:14">
      <c r="A569" s="40" t="s">
        <v>2762</v>
      </c>
      <c r="B569" s="41" t="s">
        <v>478</v>
      </c>
      <c r="C569" s="41" t="s">
        <v>479</v>
      </c>
      <c r="D569" s="42">
        <v>135.38999999999999</v>
      </c>
      <c r="E569" s="42">
        <v>135.38999999999999</v>
      </c>
      <c r="F569" s="41">
        <v>1</v>
      </c>
      <c r="G569" s="45">
        <f>E569/F569</f>
        <v>135.38999999999999</v>
      </c>
      <c r="H569" s="60" t="s">
        <v>2637</v>
      </c>
      <c r="I569" s="41" t="s">
        <v>2763</v>
      </c>
      <c r="J569" s="41" t="s">
        <v>2764</v>
      </c>
      <c r="K569" s="41" t="s">
        <v>2765</v>
      </c>
      <c r="L569" s="46" t="s">
        <v>24</v>
      </c>
      <c r="M569" s="5">
        <f>COUNTIF($B$1:$B$1475, B569)</f>
        <v>5</v>
      </c>
      <c r="N569" s="5">
        <f>COUNTIF($H$2:$H$1465, H569)</f>
        <v>73</v>
      </c>
    </row>
    <row r="570" spans="1:14">
      <c r="A570" s="26" t="s">
        <v>2766</v>
      </c>
      <c r="B570" s="23" t="s">
        <v>352</v>
      </c>
      <c r="C570" s="23" t="s">
        <v>353</v>
      </c>
      <c r="D570" s="27">
        <v>124.56</v>
      </c>
      <c r="E570" s="27">
        <v>124.56</v>
      </c>
      <c r="F570" s="23">
        <v>1</v>
      </c>
      <c r="G570" s="28">
        <f>E570/F570</f>
        <v>124.56</v>
      </c>
      <c r="H570" s="55" t="s">
        <v>2637</v>
      </c>
      <c r="I570" s="23" t="s">
        <v>2767</v>
      </c>
      <c r="J570" s="23" t="s">
        <v>2768</v>
      </c>
      <c r="K570" s="23" t="s">
        <v>2769</v>
      </c>
      <c r="L570" s="29" t="s">
        <v>24</v>
      </c>
      <c r="M570" s="5">
        <f>COUNTIF($B$1:$B$1475, B570)</f>
        <v>9</v>
      </c>
      <c r="N570" s="5">
        <f>COUNTIF($H$2:$H$1465, H570)</f>
        <v>73</v>
      </c>
    </row>
    <row r="571" spans="1:14">
      <c r="A571" s="40" t="s">
        <v>2770</v>
      </c>
      <c r="B571" s="41" t="s">
        <v>1039</v>
      </c>
      <c r="C571" s="41" t="s">
        <v>1040</v>
      </c>
      <c r="D571" s="42">
        <v>97.48</v>
      </c>
      <c r="E571" s="42">
        <v>108.31</v>
      </c>
      <c r="F571" s="41">
        <v>3</v>
      </c>
      <c r="G571" s="45">
        <f>E571/F571</f>
        <v>36.103333333333332</v>
      </c>
      <c r="H571" s="60" t="s">
        <v>2637</v>
      </c>
      <c r="I571" s="41" t="s">
        <v>2771</v>
      </c>
      <c r="J571" s="41" t="s">
        <v>2772</v>
      </c>
      <c r="K571" s="41" t="s">
        <v>2773</v>
      </c>
      <c r="L571" s="46" t="s">
        <v>24</v>
      </c>
      <c r="M571" s="5">
        <f>COUNTIF($B$1:$B$1475, B571)</f>
        <v>3</v>
      </c>
      <c r="N571" s="5">
        <f>COUNTIF($H$2:$H$1465, H571)</f>
        <v>73</v>
      </c>
    </row>
    <row r="572" spans="1:14">
      <c r="A572" s="26" t="s">
        <v>2774</v>
      </c>
      <c r="B572" s="23" t="s">
        <v>631</v>
      </c>
      <c r="C572" s="23" t="s">
        <v>632</v>
      </c>
      <c r="D572" s="27">
        <v>92.06</v>
      </c>
      <c r="E572" s="27">
        <v>108.31</v>
      </c>
      <c r="F572" s="23">
        <v>2</v>
      </c>
      <c r="G572" s="28">
        <f>E572/F572</f>
        <v>54.155000000000001</v>
      </c>
      <c r="H572" s="55" t="s">
        <v>2637</v>
      </c>
      <c r="I572" s="23" t="s">
        <v>2775</v>
      </c>
      <c r="J572" s="23" t="s">
        <v>2776</v>
      </c>
      <c r="K572" s="23" t="s">
        <v>2777</v>
      </c>
      <c r="L572" s="29" t="s">
        <v>24</v>
      </c>
      <c r="M572" s="5">
        <f>COUNTIF($B$1:$B$1475, B572)</f>
        <v>5</v>
      </c>
      <c r="N572" s="5">
        <f>COUNTIF($H$2:$H$1465, H572)</f>
        <v>73</v>
      </c>
    </row>
    <row r="573" spans="1:14">
      <c r="A573" s="40" t="s">
        <v>2778</v>
      </c>
      <c r="B573" s="41" t="s">
        <v>1536</v>
      </c>
      <c r="C573" s="41" t="s">
        <v>1537</v>
      </c>
      <c r="D573" s="42">
        <v>92.06</v>
      </c>
      <c r="E573" s="42">
        <v>92.06</v>
      </c>
      <c r="F573" s="41">
        <v>1</v>
      </c>
      <c r="G573" s="45">
        <f>E573/F573</f>
        <v>92.06</v>
      </c>
      <c r="H573" s="60" t="s">
        <v>2637</v>
      </c>
      <c r="I573" s="41" t="s">
        <v>2779</v>
      </c>
      <c r="J573" s="41" t="s">
        <v>2780</v>
      </c>
      <c r="K573" s="41" t="s">
        <v>2781</v>
      </c>
      <c r="L573" s="46" t="s">
        <v>24</v>
      </c>
      <c r="M573" s="5">
        <f>COUNTIF($B$1:$B$1475, B573)</f>
        <v>3</v>
      </c>
      <c r="N573" s="5">
        <f>COUNTIF($H$2:$H$1465, H573)</f>
        <v>73</v>
      </c>
    </row>
    <row r="574" spans="1:14">
      <c r="A574" s="26" t="s">
        <v>2782</v>
      </c>
      <c r="B574" s="23" t="s">
        <v>2753</v>
      </c>
      <c r="C574" s="23" t="s">
        <v>2754</v>
      </c>
      <c r="D574" s="27">
        <v>86.65</v>
      </c>
      <c r="E574" s="27">
        <v>86.65</v>
      </c>
      <c r="F574" s="23">
        <v>1</v>
      </c>
      <c r="G574" s="28">
        <f>E574/F574</f>
        <v>86.65</v>
      </c>
      <c r="H574" s="55" t="s">
        <v>2637</v>
      </c>
      <c r="I574" s="23" t="s">
        <v>2783</v>
      </c>
      <c r="J574" s="23" t="s">
        <v>2784</v>
      </c>
      <c r="K574" s="23" t="s">
        <v>2785</v>
      </c>
      <c r="L574" s="29" t="s">
        <v>24</v>
      </c>
      <c r="M574" s="5">
        <f>COUNTIF($B$1:$B$1475, B574)</f>
        <v>6</v>
      </c>
      <c r="N574" s="5">
        <f>COUNTIF($H$2:$H$1465, H574)</f>
        <v>73</v>
      </c>
    </row>
    <row r="575" spans="1:14">
      <c r="A575" s="40" t="s">
        <v>2786</v>
      </c>
      <c r="B575" s="41" t="s">
        <v>2787</v>
      </c>
      <c r="C575" s="41" t="s">
        <v>2788</v>
      </c>
      <c r="D575" s="42">
        <v>81.23</v>
      </c>
      <c r="E575" s="42">
        <v>135.38999999999999</v>
      </c>
      <c r="F575" s="41">
        <v>2</v>
      </c>
      <c r="G575" s="45">
        <f>E575/F575</f>
        <v>67.694999999999993</v>
      </c>
      <c r="H575" s="60" t="s">
        <v>2637</v>
      </c>
      <c r="I575" s="41" t="s">
        <v>2789</v>
      </c>
      <c r="J575" s="41" t="s">
        <v>2790</v>
      </c>
      <c r="K575" s="41" t="s">
        <v>2791</v>
      </c>
      <c r="L575" s="46" t="s">
        <v>24</v>
      </c>
      <c r="M575" s="5">
        <f>COUNTIF($B$1:$B$1475, B575)</f>
        <v>2</v>
      </c>
      <c r="N575" s="5">
        <f>COUNTIF($H$2:$H$1465, H575)</f>
        <v>73</v>
      </c>
    </row>
    <row r="576" spans="1:14">
      <c r="A576" s="26" t="s">
        <v>2792</v>
      </c>
      <c r="B576" s="23" t="s">
        <v>2793</v>
      </c>
      <c r="C576" s="23" t="s">
        <v>2794</v>
      </c>
      <c r="D576" s="27">
        <v>81.23</v>
      </c>
      <c r="E576" s="27">
        <v>81.23</v>
      </c>
      <c r="F576" s="23">
        <v>1</v>
      </c>
      <c r="G576" s="28">
        <f>E576/F576</f>
        <v>81.23</v>
      </c>
      <c r="H576" s="55" t="s">
        <v>2637</v>
      </c>
      <c r="I576" s="23" t="s">
        <v>2795</v>
      </c>
      <c r="J576" s="23" t="s">
        <v>2796</v>
      </c>
      <c r="K576" s="23" t="s">
        <v>2797</v>
      </c>
      <c r="L576" s="29" t="s">
        <v>24</v>
      </c>
      <c r="M576" s="5">
        <f>COUNTIF($B$1:$B$1475, B576)</f>
        <v>1</v>
      </c>
      <c r="N576" s="5">
        <f>COUNTIF($H$2:$H$1465, H576)</f>
        <v>73</v>
      </c>
    </row>
    <row r="577" spans="1:14">
      <c r="A577" s="40" t="s">
        <v>2798</v>
      </c>
      <c r="B577" s="41" t="s">
        <v>2233</v>
      </c>
      <c r="C577" s="41" t="s">
        <v>2799</v>
      </c>
      <c r="D577" s="42">
        <v>64.989999999999995</v>
      </c>
      <c r="E577" s="42">
        <v>64.989999999999995</v>
      </c>
      <c r="F577" s="41">
        <v>1</v>
      </c>
      <c r="G577" s="45">
        <f>E577/F577</f>
        <v>64.989999999999995</v>
      </c>
      <c r="H577" s="60" t="s">
        <v>2637</v>
      </c>
      <c r="I577" s="41" t="s">
        <v>2800</v>
      </c>
      <c r="J577" s="41" t="s">
        <v>2801</v>
      </c>
      <c r="K577" s="41" t="s">
        <v>2802</v>
      </c>
      <c r="L577" s="46" t="s">
        <v>24</v>
      </c>
      <c r="M577" s="5">
        <f>COUNTIF($B$1:$B$1475, B577)</f>
        <v>2</v>
      </c>
      <c r="N577" s="5">
        <f>COUNTIF($H$2:$H$1465, H577)</f>
        <v>73</v>
      </c>
    </row>
    <row r="578" spans="1:14">
      <c r="A578" s="26" t="s">
        <v>2803</v>
      </c>
      <c r="B578" s="23" t="s">
        <v>555</v>
      </c>
      <c r="C578" s="23" t="s">
        <v>556</v>
      </c>
      <c r="D578" s="27">
        <v>200.37</v>
      </c>
      <c r="E578" s="27">
        <v>947.71</v>
      </c>
      <c r="F578" s="23">
        <v>10</v>
      </c>
      <c r="G578" s="28">
        <f>E578/F578</f>
        <v>94.771000000000001</v>
      </c>
      <c r="H578" s="55" t="s">
        <v>2637</v>
      </c>
      <c r="I578" s="23" t="s">
        <v>2804</v>
      </c>
      <c r="J578" s="23" t="s">
        <v>2805</v>
      </c>
      <c r="K578" s="23" t="s">
        <v>2806</v>
      </c>
      <c r="L578" s="29" t="s">
        <v>24</v>
      </c>
      <c r="M578" s="5">
        <f>COUNTIF($B$1:$B$1475, B578)</f>
        <v>8</v>
      </c>
      <c r="N578" s="5">
        <f>COUNTIF($H$2:$H$1465, H578)</f>
        <v>73</v>
      </c>
    </row>
    <row r="579" spans="1:14">
      <c r="A579" s="40" t="s">
        <v>2807</v>
      </c>
      <c r="B579" s="41" t="s">
        <v>537</v>
      </c>
      <c r="C579" s="41" t="s">
        <v>538</v>
      </c>
      <c r="D579" s="42">
        <v>157.05000000000001</v>
      </c>
      <c r="E579" s="42">
        <v>514.47</v>
      </c>
      <c r="F579" s="41">
        <v>19</v>
      </c>
      <c r="G579" s="45">
        <f>E579/F579</f>
        <v>27.077368421052633</v>
      </c>
      <c r="H579" s="60" t="s">
        <v>2637</v>
      </c>
      <c r="I579" s="41" t="s">
        <v>2808</v>
      </c>
      <c r="J579" s="41" t="s">
        <v>2809</v>
      </c>
      <c r="K579" s="41" t="s">
        <v>2810</v>
      </c>
      <c r="L579" s="46" t="s">
        <v>24</v>
      </c>
      <c r="M579" s="5">
        <f>COUNTIF($B$1:$B$1475, B579)</f>
        <v>3</v>
      </c>
      <c r="N579" s="5">
        <f>COUNTIF($H$2:$H$1465, H579)</f>
        <v>73</v>
      </c>
    </row>
    <row r="580" spans="1:14">
      <c r="A580" s="26" t="s">
        <v>2811</v>
      </c>
      <c r="B580" s="23" t="s">
        <v>1501</v>
      </c>
      <c r="C580" s="23" t="s">
        <v>1502</v>
      </c>
      <c r="D580" s="27">
        <v>102.89</v>
      </c>
      <c r="E580" s="27">
        <v>102.89</v>
      </c>
      <c r="F580" s="23">
        <v>1</v>
      </c>
      <c r="G580" s="28">
        <f>E580/F580</f>
        <v>102.89</v>
      </c>
      <c r="H580" s="55" t="s">
        <v>2637</v>
      </c>
      <c r="I580" s="23" t="s">
        <v>2812</v>
      </c>
      <c r="J580" s="23" t="s">
        <v>2813</v>
      </c>
      <c r="K580" s="23" t="s">
        <v>2814</v>
      </c>
      <c r="L580" s="29" t="s">
        <v>24</v>
      </c>
      <c r="M580" s="5">
        <f>COUNTIF($B$1:$B$1475, B580)</f>
        <v>3</v>
      </c>
      <c r="N580" s="5">
        <f>COUNTIF($H$2:$H$1465, H580)</f>
        <v>73</v>
      </c>
    </row>
    <row r="581" spans="1:14">
      <c r="A581" s="40" t="s">
        <v>2815</v>
      </c>
      <c r="B581" s="41" t="s">
        <v>57</v>
      </c>
      <c r="C581" s="41" t="s">
        <v>58</v>
      </c>
      <c r="D581" s="42">
        <v>102.89</v>
      </c>
      <c r="E581" s="42">
        <v>124.56</v>
      </c>
      <c r="F581" s="41">
        <v>2</v>
      </c>
      <c r="G581" s="45">
        <f>E581/F581</f>
        <v>62.28</v>
      </c>
      <c r="H581" s="60" t="s">
        <v>2637</v>
      </c>
      <c r="I581" s="41" t="s">
        <v>2816</v>
      </c>
      <c r="J581" s="41" t="s">
        <v>2817</v>
      </c>
      <c r="K581" s="41" t="s">
        <v>2818</v>
      </c>
      <c r="L581" s="46" t="s">
        <v>24</v>
      </c>
      <c r="M581" s="5">
        <f>COUNTIF($B$1:$B$1475, B581)</f>
        <v>7</v>
      </c>
      <c r="N581" s="5">
        <f>COUNTIF($H$2:$H$1465, H581)</f>
        <v>73</v>
      </c>
    </row>
    <row r="582" spans="1:14">
      <c r="A582" s="26" t="s">
        <v>2819</v>
      </c>
      <c r="B582" s="23" t="s">
        <v>220</v>
      </c>
      <c r="C582" s="23" t="s">
        <v>221</v>
      </c>
      <c r="D582" s="27">
        <v>129.97</v>
      </c>
      <c r="E582" s="27">
        <v>129.97</v>
      </c>
      <c r="F582" s="23">
        <v>3</v>
      </c>
      <c r="G582" s="28">
        <f>E582/F582</f>
        <v>43.323333333333331</v>
      </c>
      <c r="H582" s="55" t="s">
        <v>2637</v>
      </c>
      <c r="I582" s="23" t="s">
        <v>2820</v>
      </c>
      <c r="J582" s="23" t="s">
        <v>2821</v>
      </c>
      <c r="K582" s="23" t="s">
        <v>2822</v>
      </c>
      <c r="L582" s="29" t="s">
        <v>24</v>
      </c>
      <c r="M582" s="5">
        <f>COUNTIF($B$1:$B$1475, B582)</f>
        <v>7</v>
      </c>
      <c r="N582" s="5">
        <f>COUNTIF($H$2:$H$1465, H582)</f>
        <v>73</v>
      </c>
    </row>
    <row r="583" spans="1:14">
      <c r="A583" s="40" t="s">
        <v>2823</v>
      </c>
      <c r="B583" s="41" t="s">
        <v>2824</v>
      </c>
      <c r="C583" s="41" t="s">
        <v>2825</v>
      </c>
      <c r="D583" s="42">
        <v>211.2</v>
      </c>
      <c r="E583" s="42">
        <v>211.2</v>
      </c>
      <c r="F583" s="41">
        <v>1</v>
      </c>
      <c r="G583" s="45">
        <f>E583/F583</f>
        <v>211.2</v>
      </c>
      <c r="H583" s="60" t="s">
        <v>2637</v>
      </c>
      <c r="I583" s="41" t="s">
        <v>2826</v>
      </c>
      <c r="J583" s="41" t="s">
        <v>2827</v>
      </c>
      <c r="K583" s="41" t="s">
        <v>2828</v>
      </c>
      <c r="L583" s="46" t="s">
        <v>24</v>
      </c>
      <c r="M583" s="5">
        <f>COUNTIF($B$1:$B$1475, B583)</f>
        <v>1</v>
      </c>
      <c r="N583" s="5">
        <f>COUNTIF($H$2:$H$1465, H583)</f>
        <v>73</v>
      </c>
    </row>
    <row r="584" spans="1:14">
      <c r="A584" s="26" t="s">
        <v>2829</v>
      </c>
      <c r="B584" s="23" t="s">
        <v>555</v>
      </c>
      <c r="C584" s="23" t="s">
        <v>556</v>
      </c>
      <c r="D584" s="27">
        <v>200.37</v>
      </c>
      <c r="E584" s="27">
        <v>947.71</v>
      </c>
      <c r="F584" s="23">
        <v>10</v>
      </c>
      <c r="G584" s="28">
        <f>E584/F584</f>
        <v>94.771000000000001</v>
      </c>
      <c r="H584" s="55" t="s">
        <v>2637</v>
      </c>
      <c r="I584" s="23" t="s">
        <v>2830</v>
      </c>
      <c r="J584" s="23" t="s">
        <v>2831</v>
      </c>
      <c r="K584" s="23" t="s">
        <v>2806</v>
      </c>
      <c r="L584" s="29" t="s">
        <v>24</v>
      </c>
      <c r="M584" s="5">
        <f>COUNTIF($B$1:$B$1475, B584)</f>
        <v>8</v>
      </c>
      <c r="N584" s="5">
        <f>COUNTIF($H$2:$H$1465, H584)</f>
        <v>73</v>
      </c>
    </row>
    <row r="585" spans="1:14">
      <c r="A585" s="40" t="s">
        <v>2832</v>
      </c>
      <c r="B585" s="41" t="s">
        <v>2833</v>
      </c>
      <c r="C585" s="41" t="s">
        <v>2833</v>
      </c>
      <c r="D585" s="42">
        <v>162.47</v>
      </c>
      <c r="E585" s="42">
        <v>1299.72</v>
      </c>
      <c r="F585" s="41">
        <v>48</v>
      </c>
      <c r="G585" s="45">
        <f>E585/F585</f>
        <v>27.077500000000001</v>
      </c>
      <c r="H585" s="60" t="s">
        <v>2637</v>
      </c>
      <c r="I585" s="41" t="s">
        <v>2834</v>
      </c>
      <c r="J585" s="41" t="s">
        <v>2835</v>
      </c>
      <c r="K585" s="41" t="s">
        <v>2836</v>
      </c>
      <c r="L585" s="46" t="s">
        <v>24</v>
      </c>
      <c r="M585" s="5">
        <f>COUNTIF($B$1:$B$1475, B585)</f>
        <v>1</v>
      </c>
      <c r="N585" s="5">
        <f>COUNTIF($H$2:$H$1465, H585)</f>
        <v>73</v>
      </c>
    </row>
    <row r="586" spans="1:14">
      <c r="A586" s="26" t="s">
        <v>2837</v>
      </c>
      <c r="B586" s="23" t="s">
        <v>220</v>
      </c>
      <c r="C586" s="23" t="s">
        <v>221</v>
      </c>
      <c r="D586" s="27">
        <v>129.97</v>
      </c>
      <c r="E586" s="27">
        <v>129.97</v>
      </c>
      <c r="F586" s="23">
        <v>2</v>
      </c>
      <c r="G586" s="28">
        <f>E586/F586</f>
        <v>64.984999999999999</v>
      </c>
      <c r="H586" s="55" t="s">
        <v>2637</v>
      </c>
      <c r="I586" s="23" t="s">
        <v>2838</v>
      </c>
      <c r="J586" s="23" t="s">
        <v>2839</v>
      </c>
      <c r="K586" s="23" t="s">
        <v>2840</v>
      </c>
      <c r="L586" s="29" t="s">
        <v>24</v>
      </c>
      <c r="M586" s="5">
        <f>COUNTIF($B$1:$B$1475, B586)</f>
        <v>7</v>
      </c>
      <c r="N586" s="5">
        <f>COUNTIF($H$2:$H$1465, H586)</f>
        <v>73</v>
      </c>
    </row>
    <row r="587" spans="1:14">
      <c r="A587" s="40" t="s">
        <v>2841</v>
      </c>
      <c r="B587" s="41" t="s">
        <v>117</v>
      </c>
      <c r="C587" s="41" t="s">
        <v>118</v>
      </c>
      <c r="D587" s="42">
        <v>113.73</v>
      </c>
      <c r="E587" s="42">
        <v>135.38999999999999</v>
      </c>
      <c r="F587" s="41">
        <v>6</v>
      </c>
      <c r="G587" s="45">
        <f>E587/F587</f>
        <v>22.564999999999998</v>
      </c>
      <c r="H587" s="60" t="s">
        <v>2637</v>
      </c>
      <c r="I587" s="41" t="s">
        <v>2842</v>
      </c>
      <c r="J587" s="41" t="s">
        <v>2843</v>
      </c>
      <c r="K587" s="41" t="s">
        <v>2844</v>
      </c>
      <c r="L587" s="46" t="s">
        <v>24</v>
      </c>
      <c r="M587" s="5">
        <f>COUNTIF($B$1:$B$1475, B587)</f>
        <v>23</v>
      </c>
      <c r="N587" s="5">
        <f>COUNTIF($H$2:$H$1465, H587)</f>
        <v>73</v>
      </c>
    </row>
    <row r="588" spans="1:14">
      <c r="A588" s="26" t="s">
        <v>2845</v>
      </c>
      <c r="B588" s="23" t="s">
        <v>1743</v>
      </c>
      <c r="C588" s="23" t="s">
        <v>1477</v>
      </c>
      <c r="D588" s="27">
        <v>102.89</v>
      </c>
      <c r="E588" s="27">
        <v>124.56</v>
      </c>
      <c r="F588" s="23">
        <v>3</v>
      </c>
      <c r="G588" s="28">
        <f>E588/F588</f>
        <v>41.52</v>
      </c>
      <c r="H588" s="55" t="s">
        <v>2637</v>
      </c>
      <c r="I588" s="23" t="s">
        <v>2846</v>
      </c>
      <c r="J588" s="23" t="s">
        <v>2847</v>
      </c>
      <c r="K588" s="23" t="s">
        <v>2848</v>
      </c>
      <c r="L588" s="29" t="s">
        <v>24</v>
      </c>
      <c r="M588" s="5">
        <f>COUNTIF($B$1:$B$1475, B588)</f>
        <v>4</v>
      </c>
      <c r="N588" s="5">
        <f>COUNTIF($H$2:$H$1465, H588)</f>
        <v>73</v>
      </c>
    </row>
    <row r="589" spans="1:14">
      <c r="A589" s="40" t="s">
        <v>2849</v>
      </c>
      <c r="B589" s="41" t="s">
        <v>2753</v>
      </c>
      <c r="C589" s="41" t="s">
        <v>2754</v>
      </c>
      <c r="D589" s="42">
        <v>86.65</v>
      </c>
      <c r="E589" s="42">
        <v>86.65</v>
      </c>
      <c r="F589" s="41">
        <v>1</v>
      </c>
      <c r="G589" s="45">
        <f>E589/F589</f>
        <v>86.65</v>
      </c>
      <c r="H589" s="60" t="s">
        <v>2637</v>
      </c>
      <c r="I589" s="41" t="s">
        <v>2850</v>
      </c>
      <c r="J589" s="41" t="s">
        <v>2851</v>
      </c>
      <c r="K589" s="41" t="s">
        <v>2852</v>
      </c>
      <c r="L589" s="46" t="s">
        <v>24</v>
      </c>
      <c r="M589" s="5">
        <f>COUNTIF($B$1:$B$1475, B589)</f>
        <v>6</v>
      </c>
      <c r="N589" s="5">
        <f>COUNTIF($H$2:$H$1465, H589)</f>
        <v>73</v>
      </c>
    </row>
    <row r="590" spans="1:14">
      <c r="A590" s="26" t="s">
        <v>2853</v>
      </c>
      <c r="B590" s="23" t="s">
        <v>2753</v>
      </c>
      <c r="C590" s="23" t="s">
        <v>2754</v>
      </c>
      <c r="D590" s="27">
        <v>86.65</v>
      </c>
      <c r="E590" s="27">
        <v>86.65</v>
      </c>
      <c r="F590" s="23">
        <v>1</v>
      </c>
      <c r="G590" s="28">
        <f>E590/F590</f>
        <v>86.65</v>
      </c>
      <c r="H590" s="55" t="s">
        <v>2637</v>
      </c>
      <c r="I590" s="23" t="s">
        <v>2854</v>
      </c>
      <c r="J590" s="23" t="s">
        <v>2855</v>
      </c>
      <c r="K590" s="23" t="s">
        <v>2856</v>
      </c>
      <c r="L590" s="29" t="s">
        <v>24</v>
      </c>
      <c r="M590" s="5">
        <f>COUNTIF($B$1:$B$1475, B590)</f>
        <v>6</v>
      </c>
      <c r="N590" s="5">
        <f>COUNTIF($H$2:$H$1465, H590)</f>
        <v>73</v>
      </c>
    </row>
    <row r="591" spans="1:14">
      <c r="A591" s="40" t="s">
        <v>2857</v>
      </c>
      <c r="B591" s="41" t="s">
        <v>33</v>
      </c>
      <c r="C591" s="41" t="s">
        <v>34</v>
      </c>
      <c r="D591" s="42">
        <v>81.23</v>
      </c>
      <c r="E591" s="42">
        <v>81.23</v>
      </c>
      <c r="F591" s="41">
        <v>1</v>
      </c>
      <c r="G591" s="45">
        <f>E591/F591</f>
        <v>81.23</v>
      </c>
      <c r="H591" s="60" t="s">
        <v>2637</v>
      </c>
      <c r="I591" s="41" t="s">
        <v>2858</v>
      </c>
      <c r="J591" s="41" t="s">
        <v>2859</v>
      </c>
      <c r="K591" s="41" t="s">
        <v>2860</v>
      </c>
      <c r="L591" s="46" t="s">
        <v>24</v>
      </c>
      <c r="M591" s="5">
        <f>COUNTIF($B$1:$B$1475, B591)</f>
        <v>9</v>
      </c>
      <c r="N591" s="5">
        <f>COUNTIF($H$2:$H$1465, H591)</f>
        <v>73</v>
      </c>
    </row>
    <row r="592" spans="1:14">
      <c r="A592" s="26" t="s">
        <v>2861</v>
      </c>
      <c r="B592" s="23" t="s">
        <v>478</v>
      </c>
      <c r="C592" s="23" t="s">
        <v>479</v>
      </c>
      <c r="D592" s="27">
        <v>81.23</v>
      </c>
      <c r="E592" s="27">
        <v>135.38999999999999</v>
      </c>
      <c r="F592" s="23">
        <v>2</v>
      </c>
      <c r="G592" s="28">
        <f>E592/F592</f>
        <v>67.694999999999993</v>
      </c>
      <c r="H592" s="55" t="s">
        <v>2637</v>
      </c>
      <c r="I592" s="23" t="s">
        <v>2862</v>
      </c>
      <c r="J592" s="23" t="s">
        <v>2863</v>
      </c>
      <c r="K592" s="23" t="s">
        <v>2864</v>
      </c>
      <c r="L592" s="29" t="s">
        <v>24</v>
      </c>
      <c r="M592" s="5">
        <f>COUNTIF($B$1:$B$1475, B592)</f>
        <v>5</v>
      </c>
      <c r="N592" s="5">
        <f>COUNTIF($H$2:$H$1465, H592)</f>
        <v>73</v>
      </c>
    </row>
    <row r="593" spans="1:14">
      <c r="A593" s="40" t="s">
        <v>2865</v>
      </c>
      <c r="B593" s="41" t="s">
        <v>940</v>
      </c>
      <c r="C593" s="41" t="s">
        <v>941</v>
      </c>
      <c r="D593" s="42">
        <v>75.819999999999993</v>
      </c>
      <c r="E593" s="42">
        <v>151.63</v>
      </c>
      <c r="F593" s="41">
        <v>2</v>
      </c>
      <c r="G593" s="45">
        <f>E593/F593</f>
        <v>75.814999999999998</v>
      </c>
      <c r="H593" s="60" t="s">
        <v>2637</v>
      </c>
      <c r="I593" s="41" t="s">
        <v>2866</v>
      </c>
      <c r="J593" s="41" t="s">
        <v>2867</v>
      </c>
      <c r="K593" s="41" t="s">
        <v>2868</v>
      </c>
      <c r="L593" s="46" t="s">
        <v>24</v>
      </c>
      <c r="M593" s="5">
        <f>COUNTIF($B$1:$B$1475, B593)</f>
        <v>3</v>
      </c>
      <c r="N593" s="5">
        <f>COUNTIF($H$2:$H$1465, H593)</f>
        <v>73</v>
      </c>
    </row>
    <row r="594" spans="1:14">
      <c r="A594" s="26" t="s">
        <v>2869</v>
      </c>
      <c r="B594" s="23" t="s">
        <v>1346</v>
      </c>
      <c r="C594" s="23" t="s">
        <v>1347</v>
      </c>
      <c r="D594" s="27">
        <v>64.989999999999995</v>
      </c>
      <c r="E594" s="27">
        <v>64.989999999999995</v>
      </c>
      <c r="F594" s="23">
        <v>1</v>
      </c>
      <c r="G594" s="28">
        <f>E594/F594</f>
        <v>64.989999999999995</v>
      </c>
      <c r="H594" s="55" t="s">
        <v>2637</v>
      </c>
      <c r="I594" s="23" t="s">
        <v>2870</v>
      </c>
      <c r="J594" s="23" t="s">
        <v>2871</v>
      </c>
      <c r="K594" s="23" t="s">
        <v>2872</v>
      </c>
      <c r="L594" s="29" t="s">
        <v>24</v>
      </c>
      <c r="M594" s="5">
        <f>COUNTIF($B$1:$B$1475, B594)</f>
        <v>3</v>
      </c>
      <c r="N594" s="5">
        <f>COUNTIF($H$2:$H$1465, H594)</f>
        <v>73</v>
      </c>
    </row>
    <row r="595" spans="1:14">
      <c r="A595" s="40" t="s">
        <v>2873</v>
      </c>
      <c r="B595" s="41" t="s">
        <v>2874</v>
      </c>
      <c r="C595" s="41" t="s">
        <v>2875</v>
      </c>
      <c r="D595" s="42">
        <v>113.73</v>
      </c>
      <c r="E595" s="42">
        <v>113.73</v>
      </c>
      <c r="F595" s="41">
        <v>1</v>
      </c>
      <c r="G595" s="45">
        <f>E595/F595</f>
        <v>113.73</v>
      </c>
      <c r="H595" s="60" t="s">
        <v>2637</v>
      </c>
      <c r="I595" s="41" t="s">
        <v>2876</v>
      </c>
      <c r="J595" s="41" t="s">
        <v>2877</v>
      </c>
      <c r="K595" s="41" t="s">
        <v>2878</v>
      </c>
      <c r="L595" s="46" t="s">
        <v>24</v>
      </c>
      <c r="M595" s="5">
        <f>COUNTIF($B$1:$B$1475, B595)</f>
        <v>1</v>
      </c>
      <c r="N595" s="5">
        <f>COUNTIF($H$2:$H$1465, H595)</f>
        <v>73</v>
      </c>
    </row>
    <row r="596" spans="1:14">
      <c r="A596" s="26" t="s">
        <v>2879</v>
      </c>
      <c r="B596" s="23" t="s">
        <v>40</v>
      </c>
      <c r="C596" s="23" t="s">
        <v>41</v>
      </c>
      <c r="D596" s="27">
        <v>81.23</v>
      </c>
      <c r="E596" s="27">
        <v>92.06</v>
      </c>
      <c r="F596" s="23">
        <v>2</v>
      </c>
      <c r="G596" s="28">
        <f>E596/F596</f>
        <v>46.03</v>
      </c>
      <c r="H596" s="55" t="s">
        <v>2637</v>
      </c>
      <c r="I596" s="23" t="s">
        <v>2880</v>
      </c>
      <c r="J596" s="23" t="s">
        <v>2881</v>
      </c>
      <c r="K596" s="23" t="s">
        <v>2882</v>
      </c>
      <c r="L596" s="29" t="s">
        <v>24</v>
      </c>
      <c r="M596" s="5">
        <f>COUNTIF($B$1:$B$1475, B596)</f>
        <v>7</v>
      </c>
      <c r="N596" s="5">
        <f>COUNTIF($H$2:$H$1465, H596)</f>
        <v>73</v>
      </c>
    </row>
    <row r="597" spans="1:14">
      <c r="A597" s="40" t="s">
        <v>2883</v>
      </c>
      <c r="B597" s="41" t="s">
        <v>1234</v>
      </c>
      <c r="C597" s="41" t="s">
        <v>1235</v>
      </c>
      <c r="D597" s="42">
        <v>184.13</v>
      </c>
      <c r="E597" s="42">
        <v>427.83</v>
      </c>
      <c r="F597" s="41">
        <v>14</v>
      </c>
      <c r="G597" s="45">
        <f>E597/F597</f>
        <v>30.559285714285714</v>
      </c>
      <c r="H597" s="60" t="s">
        <v>2637</v>
      </c>
      <c r="I597" s="41" t="s">
        <v>2884</v>
      </c>
      <c r="J597" s="41" t="s">
        <v>2885</v>
      </c>
      <c r="K597" s="41" t="s">
        <v>2886</v>
      </c>
      <c r="L597" s="46" t="s">
        <v>24</v>
      </c>
      <c r="M597" s="5">
        <f>COUNTIF($B$1:$B$1475, B597)</f>
        <v>2</v>
      </c>
      <c r="N597" s="5">
        <f>COUNTIF($H$2:$H$1465, H597)</f>
        <v>73</v>
      </c>
    </row>
    <row r="598" spans="1:14">
      <c r="A598" s="26" t="s">
        <v>2887</v>
      </c>
      <c r="B598" s="23" t="s">
        <v>117</v>
      </c>
      <c r="C598" s="23" t="s">
        <v>118</v>
      </c>
      <c r="D598" s="27">
        <v>113.73</v>
      </c>
      <c r="E598" s="27">
        <v>135.38999999999999</v>
      </c>
      <c r="F598" s="23">
        <v>2</v>
      </c>
      <c r="G598" s="28">
        <f>E598/F598</f>
        <v>67.694999999999993</v>
      </c>
      <c r="H598" s="55" t="s">
        <v>2637</v>
      </c>
      <c r="I598" s="23" t="s">
        <v>2888</v>
      </c>
      <c r="J598" s="23" t="s">
        <v>2889</v>
      </c>
      <c r="K598" s="23" t="s">
        <v>2890</v>
      </c>
      <c r="L598" s="29" t="s">
        <v>24</v>
      </c>
      <c r="M598" s="5">
        <f>COUNTIF($B$1:$B$1475, B598)</f>
        <v>23</v>
      </c>
      <c r="N598" s="5">
        <f>COUNTIF($H$2:$H$1465, H598)</f>
        <v>73</v>
      </c>
    </row>
    <row r="599" spans="1:14">
      <c r="A599" s="40" t="s">
        <v>2891</v>
      </c>
      <c r="B599" s="41" t="s">
        <v>1190</v>
      </c>
      <c r="C599" s="41" t="s">
        <v>1191</v>
      </c>
      <c r="D599" s="42">
        <v>102.89</v>
      </c>
      <c r="E599" s="42">
        <v>124.56</v>
      </c>
      <c r="F599" s="41">
        <v>2</v>
      </c>
      <c r="G599" s="45">
        <f>E599/F599</f>
        <v>62.28</v>
      </c>
      <c r="H599" s="60" t="s">
        <v>2637</v>
      </c>
      <c r="I599" s="41" t="s">
        <v>2892</v>
      </c>
      <c r="J599" s="41" t="s">
        <v>2893</v>
      </c>
      <c r="K599" s="41" t="s">
        <v>2894</v>
      </c>
      <c r="L599" s="46" t="s">
        <v>24</v>
      </c>
      <c r="M599" s="5">
        <f>COUNTIF($B$1:$B$1475, B599)</f>
        <v>3</v>
      </c>
      <c r="N599" s="5">
        <f>COUNTIF($H$2:$H$1465, H599)</f>
        <v>73</v>
      </c>
    </row>
    <row r="600" spans="1:14">
      <c r="A600" s="26" t="s">
        <v>2895</v>
      </c>
      <c r="B600" s="23" t="s">
        <v>2896</v>
      </c>
      <c r="C600" s="23" t="s">
        <v>2897</v>
      </c>
      <c r="D600" s="27">
        <v>102.89</v>
      </c>
      <c r="E600" s="27">
        <v>135.38999999999999</v>
      </c>
      <c r="F600" s="23">
        <v>8</v>
      </c>
      <c r="G600" s="28">
        <f>E600/F600</f>
        <v>16.923749999999998</v>
      </c>
      <c r="H600" s="55" t="s">
        <v>2637</v>
      </c>
      <c r="I600" s="23" t="s">
        <v>2898</v>
      </c>
      <c r="J600" s="23" t="s">
        <v>2899</v>
      </c>
      <c r="K600" s="23" t="s">
        <v>2900</v>
      </c>
      <c r="L600" s="29" t="s">
        <v>24</v>
      </c>
      <c r="M600" s="5">
        <f>COUNTIF($B$1:$B$1475, B600)</f>
        <v>1</v>
      </c>
      <c r="N600" s="5">
        <f>COUNTIF($H$2:$H$1465, H600)</f>
        <v>73</v>
      </c>
    </row>
    <row r="601" spans="1:14">
      <c r="A601" s="40" t="s">
        <v>2901</v>
      </c>
      <c r="B601" s="41" t="s">
        <v>206</v>
      </c>
      <c r="C601" s="41" t="s">
        <v>58</v>
      </c>
      <c r="D601" s="42">
        <v>102.89</v>
      </c>
      <c r="E601" s="42">
        <v>124.56</v>
      </c>
      <c r="F601" s="41">
        <v>2</v>
      </c>
      <c r="G601" s="45">
        <f>E601/F601</f>
        <v>62.28</v>
      </c>
      <c r="H601" s="60" t="s">
        <v>2637</v>
      </c>
      <c r="I601" s="41" t="s">
        <v>2902</v>
      </c>
      <c r="J601" s="41" t="s">
        <v>2903</v>
      </c>
      <c r="K601" s="41" t="s">
        <v>2904</v>
      </c>
      <c r="L601" s="46" t="s">
        <v>24</v>
      </c>
      <c r="M601" s="5">
        <f>COUNTIF($B$1:$B$1475, B601)</f>
        <v>13</v>
      </c>
      <c r="N601" s="5">
        <f>COUNTIF($H$2:$H$1465, H601)</f>
        <v>73</v>
      </c>
    </row>
    <row r="602" spans="1:14">
      <c r="A602" s="26" t="s">
        <v>2905</v>
      </c>
      <c r="B602" s="23" t="s">
        <v>2906</v>
      </c>
      <c r="C602" s="23" t="s">
        <v>2906</v>
      </c>
      <c r="D602" s="27">
        <v>97.48</v>
      </c>
      <c r="E602" s="27">
        <v>119.14</v>
      </c>
      <c r="F602" s="23">
        <v>3</v>
      </c>
      <c r="G602" s="28">
        <f>E602/F602</f>
        <v>39.713333333333331</v>
      </c>
      <c r="H602" s="55" t="s">
        <v>2637</v>
      </c>
      <c r="I602" s="23" t="s">
        <v>2907</v>
      </c>
      <c r="J602" s="23" t="s">
        <v>2908</v>
      </c>
      <c r="K602" s="23" t="s">
        <v>2909</v>
      </c>
      <c r="L602" s="29" t="s">
        <v>24</v>
      </c>
      <c r="M602" s="5">
        <f>COUNTIF($B$1:$B$1475, B602)</f>
        <v>1</v>
      </c>
      <c r="N602" s="5">
        <f>COUNTIF($H$2:$H$1465, H602)</f>
        <v>73</v>
      </c>
    </row>
    <row r="603" spans="1:14">
      <c r="A603" s="40" t="s">
        <v>2910</v>
      </c>
      <c r="B603" s="41" t="s">
        <v>606</v>
      </c>
      <c r="C603" s="41" t="s">
        <v>607</v>
      </c>
      <c r="D603" s="42">
        <v>92.06</v>
      </c>
      <c r="E603" s="42">
        <v>102.89</v>
      </c>
      <c r="F603" s="41">
        <v>4</v>
      </c>
      <c r="G603" s="45">
        <f>E603/F603</f>
        <v>25.7225</v>
      </c>
      <c r="H603" s="60" t="s">
        <v>2637</v>
      </c>
      <c r="I603" s="41" t="s">
        <v>2911</v>
      </c>
      <c r="J603" s="41" t="s">
        <v>2912</v>
      </c>
      <c r="K603" s="41" t="s">
        <v>2913</v>
      </c>
      <c r="L603" s="46" t="s">
        <v>24</v>
      </c>
      <c r="M603" s="5">
        <f>COUNTIF($B$1:$B$1475, B603)</f>
        <v>4</v>
      </c>
      <c r="N603" s="5">
        <f>COUNTIF($H$2:$H$1465, H603)</f>
        <v>73</v>
      </c>
    </row>
    <row r="604" spans="1:14">
      <c r="A604" s="26" t="s">
        <v>2914</v>
      </c>
      <c r="B604" s="23" t="s">
        <v>2753</v>
      </c>
      <c r="C604" s="23" t="s">
        <v>2754</v>
      </c>
      <c r="D604" s="27">
        <v>86.65</v>
      </c>
      <c r="E604" s="27">
        <v>86.65</v>
      </c>
      <c r="F604" s="23">
        <v>1</v>
      </c>
      <c r="G604" s="28">
        <f>E604/F604</f>
        <v>86.65</v>
      </c>
      <c r="H604" s="55" t="s">
        <v>2637</v>
      </c>
      <c r="I604" s="23" t="s">
        <v>2915</v>
      </c>
      <c r="J604" s="23" t="s">
        <v>2916</v>
      </c>
      <c r="K604" s="23" t="s">
        <v>2917</v>
      </c>
      <c r="L604" s="29" t="s">
        <v>24</v>
      </c>
      <c r="M604" s="5">
        <f>COUNTIF($B$1:$B$1475, B604)</f>
        <v>6</v>
      </c>
      <c r="N604" s="5">
        <f>COUNTIF($H$2:$H$1465, H604)</f>
        <v>73</v>
      </c>
    </row>
    <row r="605" spans="1:14">
      <c r="A605" s="40" t="s">
        <v>2918</v>
      </c>
      <c r="B605" s="41" t="s">
        <v>2753</v>
      </c>
      <c r="C605" s="41" t="s">
        <v>2754</v>
      </c>
      <c r="D605" s="42">
        <v>86.65</v>
      </c>
      <c r="E605" s="42">
        <v>86.65</v>
      </c>
      <c r="F605" s="41">
        <v>1</v>
      </c>
      <c r="G605" s="45">
        <f>E605/F605</f>
        <v>86.65</v>
      </c>
      <c r="H605" s="60" t="s">
        <v>2637</v>
      </c>
      <c r="I605" s="41" t="s">
        <v>2919</v>
      </c>
      <c r="J605" s="41" t="s">
        <v>2920</v>
      </c>
      <c r="K605" s="41" t="s">
        <v>2921</v>
      </c>
      <c r="L605" s="46" t="s">
        <v>24</v>
      </c>
      <c r="M605" s="5">
        <f>COUNTIF($B$1:$B$1475, B605)</f>
        <v>6</v>
      </c>
      <c r="N605" s="5">
        <f>COUNTIF($H$2:$H$1465, H605)</f>
        <v>73</v>
      </c>
    </row>
    <row r="606" spans="1:14">
      <c r="A606" s="26" t="s">
        <v>2922</v>
      </c>
      <c r="B606" s="23" t="s">
        <v>2787</v>
      </c>
      <c r="C606" s="23" t="s">
        <v>2788</v>
      </c>
      <c r="D606" s="27">
        <v>81.23</v>
      </c>
      <c r="E606" s="27">
        <v>135.38999999999999</v>
      </c>
      <c r="F606" s="23">
        <v>2</v>
      </c>
      <c r="G606" s="28">
        <f>E606/F606</f>
        <v>67.694999999999993</v>
      </c>
      <c r="H606" s="55" t="s">
        <v>2637</v>
      </c>
      <c r="I606" s="23" t="s">
        <v>2923</v>
      </c>
      <c r="J606" s="23" t="s">
        <v>2924</v>
      </c>
      <c r="K606" s="23" t="s">
        <v>2925</v>
      </c>
      <c r="L606" s="29" t="s">
        <v>24</v>
      </c>
      <c r="M606" s="5">
        <f>COUNTIF($B$1:$B$1475, B606)</f>
        <v>2</v>
      </c>
      <c r="N606" s="5">
        <f>COUNTIF($H$2:$H$1465, H606)</f>
        <v>73</v>
      </c>
    </row>
    <row r="607" spans="1:14">
      <c r="A607" s="40" t="s">
        <v>2926</v>
      </c>
      <c r="B607" s="41" t="s">
        <v>1328</v>
      </c>
      <c r="C607" s="41" t="s">
        <v>1329</v>
      </c>
      <c r="D607" s="42">
        <v>81.23</v>
      </c>
      <c r="E607" s="42">
        <v>81.23</v>
      </c>
      <c r="F607" s="41">
        <v>1</v>
      </c>
      <c r="G607" s="45">
        <f>E607/F607</f>
        <v>81.23</v>
      </c>
      <c r="H607" s="60" t="s">
        <v>2637</v>
      </c>
      <c r="I607" s="41" t="s">
        <v>2927</v>
      </c>
      <c r="J607" s="41" t="s">
        <v>2928</v>
      </c>
      <c r="K607" s="41" t="s">
        <v>2929</v>
      </c>
      <c r="L607" s="46" t="s">
        <v>24</v>
      </c>
      <c r="M607" s="5">
        <f>COUNTIF($B$1:$B$1475, B607)</f>
        <v>2</v>
      </c>
      <c r="N607" s="5">
        <f>COUNTIF($H$2:$H$1465, H607)</f>
        <v>73</v>
      </c>
    </row>
    <row r="608" spans="1:14">
      <c r="A608" s="26" t="s">
        <v>2930</v>
      </c>
      <c r="B608" s="23" t="s">
        <v>940</v>
      </c>
      <c r="C608" s="23" t="s">
        <v>2931</v>
      </c>
      <c r="D608" s="27">
        <v>75.819999999999993</v>
      </c>
      <c r="E608" s="27">
        <v>151.63</v>
      </c>
      <c r="F608" s="23">
        <v>2</v>
      </c>
      <c r="G608" s="28">
        <f>E608/F608</f>
        <v>75.814999999999998</v>
      </c>
      <c r="H608" s="55" t="s">
        <v>2637</v>
      </c>
      <c r="I608" s="23" t="s">
        <v>2932</v>
      </c>
      <c r="J608" s="23" t="s">
        <v>2933</v>
      </c>
      <c r="K608" s="23" t="s">
        <v>2934</v>
      </c>
      <c r="L608" s="29" t="s">
        <v>24</v>
      </c>
      <c r="M608" s="5">
        <f>COUNTIF($B$1:$B$1475, B608)</f>
        <v>3</v>
      </c>
      <c r="N608" s="5">
        <f>COUNTIF($H$2:$H$1465, H608)</f>
        <v>73</v>
      </c>
    </row>
    <row r="609" spans="1:14">
      <c r="A609" s="40" t="s">
        <v>2935</v>
      </c>
      <c r="B609" s="41" t="s">
        <v>2936</v>
      </c>
      <c r="C609" s="41" t="s">
        <v>2937</v>
      </c>
      <c r="D609" s="42">
        <v>162.47</v>
      </c>
      <c r="E609" s="42">
        <v>162.47</v>
      </c>
      <c r="F609" s="41">
        <v>1</v>
      </c>
      <c r="G609" s="45">
        <f>E609/F609</f>
        <v>162.47</v>
      </c>
      <c r="H609" s="60" t="s">
        <v>2637</v>
      </c>
      <c r="I609" s="41" t="s">
        <v>2938</v>
      </c>
      <c r="J609" s="41" t="s">
        <v>2939</v>
      </c>
      <c r="K609" s="41" t="s">
        <v>2940</v>
      </c>
      <c r="L609" s="46" t="s">
        <v>24</v>
      </c>
      <c r="M609" s="5">
        <f>COUNTIF($B$1:$B$1475, B609)</f>
        <v>1</v>
      </c>
      <c r="N609" s="5">
        <f>COUNTIF($H$2:$H$1465, H609)</f>
        <v>73</v>
      </c>
    </row>
    <row r="610" spans="1:14">
      <c r="A610" s="26" t="s">
        <v>2941</v>
      </c>
      <c r="B610" s="23" t="s">
        <v>2942</v>
      </c>
      <c r="C610" s="23" t="s">
        <v>2942</v>
      </c>
      <c r="D610" s="27">
        <v>113.73</v>
      </c>
      <c r="E610" s="27">
        <v>249.11</v>
      </c>
      <c r="F610" s="23">
        <v>4</v>
      </c>
      <c r="G610" s="28">
        <f>E610/F610</f>
        <v>62.277500000000003</v>
      </c>
      <c r="H610" s="55" t="s">
        <v>2637</v>
      </c>
      <c r="I610" s="23" t="s">
        <v>2943</v>
      </c>
      <c r="J610" s="23" t="s">
        <v>2944</v>
      </c>
      <c r="K610" s="23" t="s">
        <v>2945</v>
      </c>
      <c r="L610" s="29" t="s">
        <v>24</v>
      </c>
      <c r="M610" s="5">
        <f>COUNTIF($B$1:$B$1475, B610)</f>
        <v>1</v>
      </c>
      <c r="N610" s="5">
        <f>COUNTIF($H$2:$H$1465, H610)</f>
        <v>73</v>
      </c>
    </row>
    <row r="611" spans="1:14">
      <c r="A611" s="40" t="s">
        <v>2946</v>
      </c>
      <c r="B611" s="41" t="s">
        <v>994</v>
      </c>
      <c r="C611" s="41" t="s">
        <v>995</v>
      </c>
      <c r="D611" s="42">
        <v>108.31</v>
      </c>
      <c r="E611" s="42">
        <v>108.31</v>
      </c>
      <c r="F611" s="41">
        <v>1</v>
      </c>
      <c r="G611" s="45">
        <f>E611/F611</f>
        <v>108.31</v>
      </c>
      <c r="H611" s="60" t="s">
        <v>2637</v>
      </c>
      <c r="I611" s="41" t="s">
        <v>2947</v>
      </c>
      <c r="J611" s="41" t="s">
        <v>2948</v>
      </c>
      <c r="K611" s="41" t="s">
        <v>2949</v>
      </c>
      <c r="L611" s="46" t="s">
        <v>24</v>
      </c>
      <c r="M611" s="5">
        <f>COUNTIF($B$1:$B$1475, B611)</f>
        <v>3</v>
      </c>
      <c r="N611" s="5">
        <f>COUNTIF($H$2:$H$1465, H611)</f>
        <v>73</v>
      </c>
    </row>
    <row r="612" spans="1:14">
      <c r="A612" s="26" t="s">
        <v>2950</v>
      </c>
      <c r="B612" s="23" t="s">
        <v>206</v>
      </c>
      <c r="C612" s="23" t="s">
        <v>58</v>
      </c>
      <c r="D612" s="27">
        <v>102.89</v>
      </c>
      <c r="E612" s="27">
        <v>124.56</v>
      </c>
      <c r="F612" s="23">
        <v>2</v>
      </c>
      <c r="G612" s="28">
        <f>E612/F612</f>
        <v>62.28</v>
      </c>
      <c r="H612" s="55" t="s">
        <v>2637</v>
      </c>
      <c r="I612" s="23" t="s">
        <v>2951</v>
      </c>
      <c r="J612" s="23" t="s">
        <v>2952</v>
      </c>
      <c r="K612" s="23" t="s">
        <v>2953</v>
      </c>
      <c r="L612" s="29" t="s">
        <v>24</v>
      </c>
      <c r="M612" s="5">
        <f>COUNTIF($B$1:$B$1475, B612)</f>
        <v>13</v>
      </c>
      <c r="N612" s="5">
        <f>COUNTIF($H$2:$H$1465, H612)</f>
        <v>73</v>
      </c>
    </row>
    <row r="613" spans="1:14">
      <c r="A613" s="40" t="s">
        <v>2954</v>
      </c>
      <c r="B613" s="41" t="s">
        <v>2955</v>
      </c>
      <c r="C613" s="41" t="s">
        <v>2955</v>
      </c>
      <c r="D613" s="42">
        <v>270.77999999999997</v>
      </c>
      <c r="E613" s="42">
        <v>270.77999999999997</v>
      </c>
      <c r="F613" s="41">
        <v>1</v>
      </c>
      <c r="G613" s="45">
        <f>E613/F613</f>
        <v>270.77999999999997</v>
      </c>
      <c r="H613" s="60" t="s">
        <v>2637</v>
      </c>
      <c r="I613" s="41" t="s">
        <v>2956</v>
      </c>
      <c r="J613" s="41" t="s">
        <v>2957</v>
      </c>
      <c r="K613" s="41" t="s">
        <v>2958</v>
      </c>
      <c r="L613" s="46" t="s">
        <v>24</v>
      </c>
      <c r="M613" s="5">
        <f>COUNTIF($B$1:$B$1475, B613)</f>
        <v>1</v>
      </c>
      <c r="N613" s="5">
        <f>COUNTIF($H$2:$H$1465, H613)</f>
        <v>73</v>
      </c>
    </row>
    <row r="614" spans="1:14">
      <c r="A614" s="26" t="s">
        <v>2959</v>
      </c>
      <c r="B614" s="23" t="s">
        <v>2960</v>
      </c>
      <c r="C614" s="23" t="s">
        <v>2961</v>
      </c>
      <c r="D614" s="27">
        <v>108.31</v>
      </c>
      <c r="E614" s="27">
        <v>866.48</v>
      </c>
      <c r="F614" s="23">
        <v>14</v>
      </c>
      <c r="G614" s="28">
        <f>E614/F614</f>
        <v>61.89142857142857</v>
      </c>
      <c r="H614" s="55" t="s">
        <v>2962</v>
      </c>
      <c r="I614" s="23" t="s">
        <v>2963</v>
      </c>
      <c r="J614" s="23" t="s">
        <v>2964</v>
      </c>
      <c r="K614" s="23" t="s">
        <v>2965</v>
      </c>
      <c r="L614" s="29" t="s">
        <v>24</v>
      </c>
      <c r="M614" s="5">
        <f>COUNTIF($B$1:$B$1475, B614)</f>
        <v>1</v>
      </c>
      <c r="N614" s="5">
        <f>COUNTIF($H$2:$H$1465, H614)</f>
        <v>1</v>
      </c>
    </row>
    <row r="615" spans="1:14">
      <c r="A615" s="40" t="s">
        <v>2966</v>
      </c>
      <c r="B615" s="41" t="s">
        <v>2967</v>
      </c>
      <c r="C615" s="41" t="s">
        <v>2968</v>
      </c>
      <c r="D615" s="42">
        <v>75.819999999999993</v>
      </c>
      <c r="E615" s="42">
        <v>189.54</v>
      </c>
      <c r="F615" s="41">
        <v>9</v>
      </c>
      <c r="G615" s="45">
        <f>E615/F615</f>
        <v>21.06</v>
      </c>
      <c r="H615" s="60" t="s">
        <v>2487</v>
      </c>
      <c r="I615" s="41" t="s">
        <v>2969</v>
      </c>
      <c r="J615" s="41" t="s">
        <v>2970</v>
      </c>
      <c r="K615" s="41" t="s">
        <v>2971</v>
      </c>
      <c r="L615" s="46" t="s">
        <v>24</v>
      </c>
      <c r="M615" s="5">
        <f>COUNTIF($B$1:$B$1475, B615)</f>
        <v>1</v>
      </c>
      <c r="N615" s="5">
        <f>COUNTIF($H$2:$H$1465, H615)</f>
        <v>27</v>
      </c>
    </row>
    <row r="616" spans="1:14">
      <c r="H616"/>
      <c r="L616"/>
      <c r="M616"/>
    </row>
    <row r="617" spans="1:14">
      <c r="H617"/>
      <c r="L617"/>
      <c r="M617"/>
    </row>
    <row r="618" spans="1:14">
      <c r="H618"/>
      <c r="L618"/>
      <c r="M618"/>
    </row>
    <row r="619" spans="1:14">
      <c r="H619"/>
      <c r="L619"/>
      <c r="M619"/>
    </row>
    <row r="620" spans="1:14">
      <c r="H620"/>
      <c r="L620"/>
      <c r="M620"/>
    </row>
    <row r="621" spans="1:14">
      <c r="H621"/>
      <c r="L621"/>
      <c r="M621"/>
    </row>
    <row r="622" spans="1:14">
      <c r="H622"/>
      <c r="L622"/>
      <c r="M622"/>
    </row>
    <row r="623" spans="1:14">
      <c r="H623"/>
      <c r="L623"/>
      <c r="M623"/>
    </row>
    <row r="624" spans="1:14">
      <c r="H624"/>
      <c r="L624"/>
      <c r="M624"/>
    </row>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spans="8:13">
      <c r="H641"/>
      <c r="L641"/>
      <c r="M641"/>
    </row>
    <row r="642" spans="8:13">
      <c r="H642"/>
      <c r="L642"/>
      <c r="M642"/>
    </row>
    <row r="643" spans="8:13">
      <c r="H643"/>
      <c r="L643"/>
      <c r="M643"/>
    </row>
    <row r="644" spans="8:13">
      <c r="H644"/>
      <c r="L644"/>
      <c r="M644"/>
    </row>
    <row r="645" spans="8:13">
      <c r="H645"/>
      <c r="L645"/>
      <c r="M645"/>
    </row>
    <row r="646" spans="8:13">
      <c r="H646"/>
      <c r="L646"/>
      <c r="M646"/>
    </row>
    <row r="647" spans="8:13">
      <c r="H647"/>
      <c r="L647"/>
      <c r="M647"/>
    </row>
    <row r="648" spans="8:13">
      <c r="H648"/>
      <c r="L648"/>
      <c r="M648"/>
    </row>
    <row r="649" spans="8:13">
      <c r="H649"/>
      <c r="L649"/>
      <c r="M649"/>
    </row>
    <row r="650" spans="8:13">
      <c r="L650"/>
      <c r="M650"/>
    </row>
    <row r="651" spans="8:13">
      <c r="L651"/>
      <c r="M651"/>
    </row>
    <row r="652" spans="8:13">
      <c r="L652"/>
      <c r="M652"/>
    </row>
    <row r="653" spans="8:13">
      <c r="L653"/>
      <c r="M653"/>
    </row>
    <row r="654" spans="8:13">
      <c r="L654"/>
      <c r="M654"/>
    </row>
    <row r="655" spans="8:13">
      <c r="L655"/>
      <c r="M655"/>
    </row>
    <row r="656" spans="8:13">
      <c r="L656"/>
      <c r="M656"/>
    </row>
    <row r="657" spans="12:13">
      <c r="L657"/>
      <c r="M657"/>
    </row>
    <row r="658" spans="12:13">
      <c r="L658"/>
      <c r="M658"/>
    </row>
    <row r="659" spans="12:13">
      <c r="L659"/>
      <c r="M659"/>
    </row>
    <row r="660" spans="12:13">
      <c r="L660"/>
      <c r="M660"/>
    </row>
    <row r="661" spans="12:13">
      <c r="L661"/>
      <c r="M661"/>
    </row>
    <row r="662" spans="12:13">
      <c r="L662"/>
      <c r="M662"/>
    </row>
    <row r="663" spans="12:13">
      <c r="L663"/>
      <c r="M663"/>
    </row>
    <row r="664" spans="12:13">
      <c r="L664"/>
      <c r="M664"/>
    </row>
    <row r="665" spans="12:13">
      <c r="L665"/>
      <c r="M665"/>
    </row>
    <row r="666" spans="12:13">
      <c r="L666"/>
      <c r="M666"/>
    </row>
    <row r="667" spans="12:13">
      <c r="L667"/>
      <c r="M667"/>
    </row>
    <row r="668" spans="12:13">
      <c r="L668"/>
      <c r="M668"/>
    </row>
    <row r="669" spans="12:13">
      <c r="L669"/>
      <c r="M669"/>
    </row>
    <row r="670" spans="12:13">
      <c r="L670"/>
      <c r="M670"/>
    </row>
    <row r="671" spans="12:13">
      <c r="L671"/>
      <c r="M671"/>
    </row>
    <row r="672" spans="12:13">
      <c r="L672"/>
      <c r="M672"/>
    </row>
    <row r="673" spans="12:13">
      <c r="L673"/>
      <c r="M673"/>
    </row>
    <row r="674" spans="12:13">
      <c r="L674"/>
      <c r="M674"/>
    </row>
    <row r="675" spans="12:13">
      <c r="L675"/>
      <c r="M675"/>
    </row>
    <row r="676" spans="12:13">
      <c r="L676"/>
      <c r="M676"/>
    </row>
    <row r="677" spans="12:13">
      <c r="L677"/>
      <c r="M677"/>
    </row>
    <row r="678" spans="12:13">
      <c r="L678"/>
      <c r="M678"/>
    </row>
    <row r="679" spans="12:13">
      <c r="L679"/>
      <c r="M679"/>
    </row>
    <row r="680" spans="12:13">
      <c r="L680"/>
      <c r="M680"/>
    </row>
    <row r="681" spans="12:13">
      <c r="L681"/>
      <c r="M681"/>
    </row>
    <row r="682" spans="12:13">
      <c r="L682"/>
      <c r="M682"/>
    </row>
    <row r="683" spans="12:13">
      <c r="L683"/>
      <c r="M683"/>
    </row>
    <row r="684" spans="12:13">
      <c r="L684"/>
      <c r="M684"/>
    </row>
    <row r="685" spans="12:13">
      <c r="L685"/>
      <c r="M685"/>
    </row>
    <row r="686" spans="12:13">
      <c r="L686"/>
      <c r="M686"/>
    </row>
    <row r="687" spans="12:13">
      <c r="L687"/>
      <c r="M687"/>
    </row>
    <row r="688" spans="12:13">
      <c r="L688"/>
      <c r="M688"/>
    </row>
    <row r="689" spans="12:13">
      <c r="L689"/>
      <c r="M689"/>
    </row>
    <row r="690" spans="12:13">
      <c r="L690"/>
      <c r="M690"/>
    </row>
    <row r="691" spans="12:13">
      <c r="L691"/>
      <c r="M691"/>
    </row>
    <row r="692" spans="12:13">
      <c r="L692"/>
      <c r="M692"/>
    </row>
    <row r="693" spans="12:13">
      <c r="L693"/>
      <c r="M693"/>
    </row>
    <row r="694" spans="12:13">
      <c r="L694"/>
      <c r="M694"/>
    </row>
    <row r="695" spans="12:13">
      <c r="L695"/>
      <c r="M695"/>
    </row>
    <row r="696" spans="12:13">
      <c r="L696"/>
      <c r="M696"/>
    </row>
    <row r="697" spans="12:13">
      <c r="L697"/>
      <c r="M697"/>
    </row>
    <row r="698" spans="12:13">
      <c r="L698"/>
      <c r="M698"/>
    </row>
    <row r="699" spans="12:13">
      <c r="L699"/>
      <c r="M699"/>
    </row>
    <row r="700" spans="12:13">
      <c r="L700"/>
      <c r="M700"/>
    </row>
    <row r="701" spans="12:13">
      <c r="L701"/>
      <c r="M701"/>
    </row>
    <row r="702" spans="12:13">
      <c r="L702"/>
      <c r="M702"/>
    </row>
    <row r="703" spans="12:13">
      <c r="L703"/>
      <c r="M703"/>
    </row>
    <row r="704" spans="12:13">
      <c r="L704"/>
      <c r="M704"/>
    </row>
    <row r="705" spans="12:13">
      <c r="L705"/>
      <c r="M705"/>
    </row>
    <row r="706" spans="12:13">
      <c r="L706"/>
      <c r="M706"/>
    </row>
    <row r="707" spans="12:13">
      <c r="L707"/>
      <c r="M707"/>
    </row>
    <row r="708" spans="12:13">
      <c r="L708"/>
      <c r="M708"/>
    </row>
    <row r="709" spans="12:13">
      <c r="L709"/>
      <c r="M709"/>
    </row>
    <row r="710" spans="12:13">
      <c r="L710"/>
      <c r="M710"/>
    </row>
    <row r="711" spans="12:13">
      <c r="L711"/>
      <c r="M711"/>
    </row>
    <row r="712" spans="12:13">
      <c r="L712"/>
      <c r="M712"/>
    </row>
    <row r="713" spans="12:13">
      <c r="L713"/>
      <c r="M713"/>
    </row>
    <row r="714" spans="12:13">
      <c r="L714"/>
      <c r="M714"/>
    </row>
    <row r="715" spans="12:13">
      <c r="L715"/>
      <c r="M715"/>
    </row>
    <row r="716" spans="12:13">
      <c r="L716"/>
      <c r="M716"/>
    </row>
    <row r="717" spans="12:13">
      <c r="L717"/>
      <c r="M717"/>
    </row>
    <row r="718" spans="12:13">
      <c r="L718"/>
      <c r="M718"/>
    </row>
    <row r="719" spans="12:13">
      <c r="L719"/>
      <c r="M719"/>
    </row>
    <row r="720" spans="12:13">
      <c r="L720"/>
      <c r="M720"/>
    </row>
    <row r="721" spans="12:13">
      <c r="L721"/>
      <c r="M721"/>
    </row>
    <row r="722" spans="12:13">
      <c r="L722"/>
      <c r="M722"/>
    </row>
    <row r="723" spans="12:13">
      <c r="L723"/>
      <c r="M723"/>
    </row>
    <row r="724" spans="12:13">
      <c r="L724"/>
      <c r="M724"/>
    </row>
    <row r="725" spans="12:13">
      <c r="L725"/>
      <c r="M725"/>
    </row>
    <row r="726" spans="12:13">
      <c r="L726"/>
      <c r="M726"/>
    </row>
    <row r="727" spans="12:13">
      <c r="L727"/>
      <c r="M727"/>
    </row>
    <row r="728" spans="12:13">
      <c r="L728"/>
      <c r="M728"/>
    </row>
    <row r="729" spans="12:13">
      <c r="L729"/>
      <c r="M729"/>
    </row>
    <row r="730" spans="12:13">
      <c r="L730"/>
      <c r="M730"/>
    </row>
    <row r="731" spans="12:13">
      <c r="L731"/>
      <c r="M731"/>
    </row>
    <row r="732" spans="12:13">
      <c r="L732"/>
      <c r="M732"/>
    </row>
    <row r="733" spans="12:13">
      <c r="L733"/>
      <c r="M733"/>
    </row>
    <row r="734" spans="12:13">
      <c r="L734"/>
      <c r="M734"/>
    </row>
    <row r="735" spans="12:13">
      <c r="L735"/>
      <c r="M735"/>
    </row>
    <row r="736" spans="12:13">
      <c r="L736"/>
      <c r="M736"/>
    </row>
    <row r="737" spans="12:13">
      <c r="L737"/>
      <c r="M737"/>
    </row>
    <row r="738" spans="12:13">
      <c r="L738"/>
      <c r="M738"/>
    </row>
    <row r="739" spans="12:13">
      <c r="L739"/>
      <c r="M739"/>
    </row>
    <row r="740" spans="12:13">
      <c r="L740"/>
      <c r="M740"/>
    </row>
    <row r="741" spans="12:13">
      <c r="L741"/>
      <c r="M741"/>
    </row>
    <row r="742" spans="12:13">
      <c r="L742"/>
      <c r="M742"/>
    </row>
    <row r="743" spans="12:13">
      <c r="L743"/>
      <c r="M743"/>
    </row>
    <row r="744" spans="12:13">
      <c r="L744"/>
      <c r="M744"/>
    </row>
    <row r="745" spans="12:13">
      <c r="L745"/>
      <c r="M745"/>
    </row>
    <row r="746" spans="12:13">
      <c r="L746"/>
      <c r="M746"/>
    </row>
    <row r="747" spans="12:13">
      <c r="L747"/>
      <c r="M747"/>
    </row>
    <row r="748" spans="12:13">
      <c r="L748"/>
      <c r="M748"/>
    </row>
    <row r="749" spans="12:13">
      <c r="L749"/>
      <c r="M749"/>
    </row>
    <row r="750" spans="12:13">
      <c r="L750"/>
      <c r="M750"/>
    </row>
    <row r="751" spans="12:13">
      <c r="L751"/>
      <c r="M751"/>
    </row>
    <row r="752" spans="12:13">
      <c r="L752"/>
      <c r="M752"/>
    </row>
    <row r="753" spans="12:13">
      <c r="L753"/>
      <c r="M753"/>
    </row>
    <row r="754" spans="12:13">
      <c r="L754"/>
      <c r="M754"/>
    </row>
    <row r="755" spans="12:13">
      <c r="L755"/>
      <c r="M755"/>
    </row>
    <row r="756" spans="12:13">
      <c r="L756"/>
      <c r="M756"/>
    </row>
    <row r="757" spans="12:13">
      <c r="L757"/>
      <c r="M757"/>
    </row>
    <row r="758" spans="12:13">
      <c r="L758"/>
      <c r="M758"/>
    </row>
    <row r="759" spans="12:13">
      <c r="L759"/>
      <c r="M759"/>
    </row>
    <row r="760" spans="12:13">
      <c r="L760"/>
      <c r="M760"/>
    </row>
    <row r="761" spans="12:13">
      <c r="L761"/>
      <c r="M761"/>
    </row>
    <row r="762" spans="12:13">
      <c r="L762"/>
      <c r="M762"/>
    </row>
    <row r="763" spans="12:13">
      <c r="L763"/>
      <c r="M763"/>
    </row>
    <row r="764" spans="12:13">
      <c r="L764"/>
      <c r="M764"/>
    </row>
    <row r="765" spans="12:13">
      <c r="L765"/>
      <c r="M765"/>
    </row>
    <row r="766" spans="12:13">
      <c r="L766"/>
      <c r="M766"/>
    </row>
    <row r="767" spans="12:13">
      <c r="L767"/>
      <c r="M767"/>
    </row>
    <row r="768" spans="12:13">
      <c r="L768"/>
      <c r="M768"/>
    </row>
    <row r="769" spans="12:13">
      <c r="L769"/>
      <c r="M769"/>
    </row>
    <row r="770" spans="12:13">
      <c r="L770"/>
      <c r="M770"/>
    </row>
    <row r="771" spans="12:13">
      <c r="L771"/>
      <c r="M771"/>
    </row>
    <row r="772" spans="12:13">
      <c r="L772"/>
      <c r="M772"/>
    </row>
    <row r="773" spans="12:13">
      <c r="L773"/>
      <c r="M773"/>
    </row>
    <row r="774" spans="12:13">
      <c r="L774"/>
      <c r="M774"/>
    </row>
    <row r="775" spans="12:13">
      <c r="L775"/>
      <c r="M775"/>
    </row>
    <row r="776" spans="12:13">
      <c r="L776"/>
      <c r="M776"/>
    </row>
    <row r="777" spans="12:13">
      <c r="L777"/>
      <c r="M777"/>
    </row>
    <row r="778" spans="12:13">
      <c r="L778"/>
      <c r="M778"/>
    </row>
    <row r="779" spans="12:13">
      <c r="L779"/>
      <c r="M779"/>
    </row>
    <row r="780" spans="12:13">
      <c r="L780"/>
      <c r="M780"/>
    </row>
    <row r="781" spans="12:13">
      <c r="L781"/>
      <c r="M781"/>
    </row>
    <row r="782" spans="12:13">
      <c r="L782"/>
      <c r="M782"/>
    </row>
    <row r="783" spans="12:13">
      <c r="L783"/>
      <c r="M783"/>
    </row>
    <row r="784" spans="12:13">
      <c r="L784"/>
      <c r="M784"/>
    </row>
    <row r="785" spans="12:13">
      <c r="L785"/>
      <c r="M785"/>
    </row>
    <row r="786" spans="12:13">
      <c r="L786"/>
      <c r="M786"/>
    </row>
    <row r="787" spans="12:13">
      <c r="L787"/>
      <c r="M787"/>
    </row>
    <row r="788" spans="12:13">
      <c r="L788"/>
      <c r="M788"/>
    </row>
    <row r="789" spans="12:13">
      <c r="L789"/>
      <c r="M789"/>
    </row>
    <row r="790" spans="12:13">
      <c r="L790"/>
      <c r="M790"/>
    </row>
    <row r="791" spans="12:13">
      <c r="L791"/>
      <c r="M791"/>
    </row>
    <row r="792" spans="12:13">
      <c r="L792"/>
      <c r="M792"/>
    </row>
    <row r="793" spans="12:13">
      <c r="L793"/>
      <c r="M793"/>
    </row>
    <row r="794" spans="12:13">
      <c r="L794"/>
      <c r="M794"/>
    </row>
    <row r="795" spans="12:13">
      <c r="L795"/>
      <c r="M795"/>
    </row>
    <row r="796" spans="12:13">
      <c r="L796"/>
      <c r="M796"/>
    </row>
    <row r="797" spans="12:13">
      <c r="L797"/>
      <c r="M797"/>
    </row>
    <row r="798" spans="12:13">
      <c r="L798"/>
      <c r="M798"/>
    </row>
    <row r="799" spans="12:13">
      <c r="L799"/>
      <c r="M799"/>
    </row>
    <row r="800" spans="12:13">
      <c r="L800"/>
      <c r="M800"/>
    </row>
    <row r="801" spans="12:13">
      <c r="L801"/>
      <c r="M801"/>
    </row>
    <row r="802" spans="12:13">
      <c r="L802"/>
      <c r="M802"/>
    </row>
    <row r="803" spans="12:13">
      <c r="L803"/>
      <c r="M803"/>
    </row>
    <row r="804" spans="12:13">
      <c r="L804"/>
      <c r="M804"/>
    </row>
    <row r="805" spans="12:13">
      <c r="L805"/>
      <c r="M805"/>
    </row>
    <row r="806" spans="12:13">
      <c r="L806"/>
      <c r="M806"/>
    </row>
    <row r="807" spans="12:13">
      <c r="L807"/>
      <c r="M807"/>
    </row>
    <row r="808" spans="12:13">
      <c r="L808"/>
      <c r="M808"/>
    </row>
    <row r="809" spans="12:13">
      <c r="L809"/>
      <c r="M809"/>
    </row>
    <row r="810" spans="12:13">
      <c r="L810"/>
      <c r="M810"/>
    </row>
    <row r="811" spans="12:13">
      <c r="L811"/>
      <c r="M811"/>
    </row>
    <row r="812" spans="12:13">
      <c r="L812"/>
      <c r="M812"/>
    </row>
    <row r="813" spans="12:13">
      <c r="L813"/>
      <c r="M813"/>
    </row>
    <row r="814" spans="12:13">
      <c r="L814"/>
      <c r="M814"/>
    </row>
    <row r="815" spans="12:13">
      <c r="L815"/>
      <c r="M815"/>
    </row>
    <row r="816" spans="12:13">
      <c r="L816"/>
      <c r="M816"/>
    </row>
    <row r="817" spans="12:13">
      <c r="L817"/>
      <c r="M817"/>
    </row>
    <row r="818" spans="12:13">
      <c r="L818"/>
      <c r="M818"/>
    </row>
    <row r="819" spans="12:13">
      <c r="L819"/>
      <c r="M819"/>
    </row>
    <row r="820" spans="12:13">
      <c r="L820"/>
      <c r="M820"/>
    </row>
    <row r="821" spans="12:13">
      <c r="L821"/>
      <c r="M821"/>
    </row>
    <row r="822" spans="12:13">
      <c r="L822"/>
      <c r="M822"/>
    </row>
    <row r="823" spans="12:13">
      <c r="L823"/>
      <c r="M823"/>
    </row>
    <row r="824" spans="12:13">
      <c r="L824"/>
      <c r="M824"/>
    </row>
    <row r="825" spans="12:13">
      <c r="L825"/>
      <c r="M825"/>
    </row>
    <row r="826" spans="12:13">
      <c r="L826"/>
      <c r="M826"/>
    </row>
    <row r="827" spans="12:13">
      <c r="L827"/>
      <c r="M827"/>
    </row>
    <row r="828" spans="12:13">
      <c r="L828"/>
      <c r="M828"/>
    </row>
    <row r="829" spans="12:13">
      <c r="L829"/>
      <c r="M829"/>
    </row>
    <row r="830" spans="12:13">
      <c r="L830"/>
      <c r="M830"/>
    </row>
    <row r="831" spans="12:13">
      <c r="L831"/>
      <c r="M831"/>
    </row>
    <row r="832" spans="12:13">
      <c r="L832"/>
      <c r="M832"/>
    </row>
    <row r="833" spans="12:13">
      <c r="L833"/>
      <c r="M833"/>
    </row>
    <row r="834" spans="12:13">
      <c r="L834"/>
      <c r="M834"/>
    </row>
    <row r="835" spans="12:13">
      <c r="L835"/>
      <c r="M835"/>
    </row>
    <row r="836" spans="12:13">
      <c r="L836"/>
      <c r="M836"/>
    </row>
    <row r="837" spans="12:13">
      <c r="L837"/>
      <c r="M837"/>
    </row>
    <row r="838" spans="12:13">
      <c r="L838"/>
      <c r="M838"/>
    </row>
    <row r="839" spans="12:13">
      <c r="L839"/>
      <c r="M839"/>
    </row>
    <row r="840" spans="12:13">
      <c r="L840"/>
      <c r="M840"/>
    </row>
    <row r="841" spans="12:13">
      <c r="L841"/>
      <c r="M841"/>
    </row>
    <row r="842" spans="12:13">
      <c r="L842"/>
      <c r="M842"/>
    </row>
    <row r="843" spans="12:13">
      <c r="L843"/>
      <c r="M843"/>
    </row>
    <row r="844" spans="12:13">
      <c r="L844"/>
      <c r="M844"/>
    </row>
    <row r="845" spans="12:13">
      <c r="L845"/>
      <c r="M845"/>
    </row>
    <row r="846" spans="12:13">
      <c r="L846"/>
      <c r="M846"/>
    </row>
    <row r="847" spans="12:13">
      <c r="L847"/>
      <c r="M847"/>
    </row>
    <row r="848" spans="12:13">
      <c r="L848"/>
      <c r="M848"/>
    </row>
    <row r="849" spans="12:13">
      <c r="L849"/>
      <c r="M849"/>
    </row>
    <row r="850" spans="12:13">
      <c r="L850"/>
      <c r="M850"/>
    </row>
    <row r="851" spans="12:13">
      <c r="L851"/>
      <c r="M851"/>
    </row>
    <row r="852" spans="12:13">
      <c r="L852"/>
      <c r="M852"/>
    </row>
    <row r="853" spans="12:13">
      <c r="L853"/>
      <c r="M853"/>
    </row>
    <row r="854" spans="12:13">
      <c r="L854"/>
      <c r="M854"/>
    </row>
    <row r="855" spans="12:13">
      <c r="L855"/>
      <c r="M855"/>
    </row>
    <row r="856" spans="12:13">
      <c r="L856"/>
      <c r="M856"/>
    </row>
    <row r="857" spans="12:13">
      <c r="L857"/>
      <c r="M857"/>
    </row>
    <row r="858" spans="12:13">
      <c r="L858"/>
      <c r="M858"/>
    </row>
    <row r="859" spans="12:13">
      <c r="L859"/>
      <c r="M859"/>
    </row>
    <row r="860" spans="12:13">
      <c r="L860"/>
      <c r="M860"/>
    </row>
    <row r="861" spans="12:13">
      <c r="L861"/>
      <c r="M861"/>
    </row>
    <row r="862" spans="12:13">
      <c r="L862"/>
      <c r="M862"/>
    </row>
    <row r="863" spans="12:13">
      <c r="L863"/>
      <c r="M863"/>
    </row>
    <row r="864" spans="12:13">
      <c r="L864"/>
      <c r="M864"/>
    </row>
    <row r="865" spans="12:13">
      <c r="L865"/>
      <c r="M865"/>
    </row>
    <row r="866" spans="12:13">
      <c r="L866"/>
      <c r="M866"/>
    </row>
    <row r="867" spans="12:13">
      <c r="L867"/>
      <c r="M867"/>
    </row>
    <row r="868" spans="12:13">
      <c r="L868"/>
      <c r="M868"/>
    </row>
    <row r="869" spans="12:13">
      <c r="L869"/>
      <c r="M869"/>
    </row>
    <row r="870" spans="12:13">
      <c r="L870"/>
      <c r="M870"/>
    </row>
    <row r="871" spans="12:13">
      <c r="L871"/>
      <c r="M871"/>
    </row>
    <row r="872" spans="12:13">
      <c r="L872"/>
      <c r="M872"/>
    </row>
    <row r="873" spans="12:13">
      <c r="L873"/>
      <c r="M873"/>
    </row>
    <row r="874" spans="12:13">
      <c r="L874"/>
      <c r="M874"/>
    </row>
    <row r="875" spans="12:13">
      <c r="L875"/>
      <c r="M875"/>
    </row>
    <row r="876" spans="12:13">
      <c r="L876"/>
      <c r="M876"/>
    </row>
    <row r="877" spans="12:13">
      <c r="L877"/>
      <c r="M877"/>
    </row>
    <row r="878" spans="12:13">
      <c r="L878"/>
      <c r="M878"/>
    </row>
    <row r="879" spans="12:13">
      <c r="L879"/>
      <c r="M879"/>
    </row>
    <row r="880" spans="12:13">
      <c r="L880"/>
      <c r="M880"/>
    </row>
    <row r="881" spans="12:13">
      <c r="L881"/>
      <c r="M881"/>
    </row>
    <row r="882" spans="12:13">
      <c r="L882"/>
      <c r="M882"/>
    </row>
    <row r="883" spans="12:13">
      <c r="L883"/>
      <c r="M883"/>
    </row>
    <row r="884" spans="12:13">
      <c r="L884"/>
      <c r="M884"/>
    </row>
    <row r="885" spans="12:13">
      <c r="L885"/>
      <c r="M885"/>
    </row>
    <row r="886" spans="12:13">
      <c r="L886"/>
      <c r="M886"/>
    </row>
    <row r="887" spans="12:13">
      <c r="L887"/>
      <c r="M887"/>
    </row>
    <row r="888" spans="12:13">
      <c r="L888"/>
      <c r="M888"/>
    </row>
    <row r="889" spans="12:13">
      <c r="L889"/>
      <c r="M889"/>
    </row>
    <row r="890" spans="12:13">
      <c r="L890"/>
      <c r="M890"/>
    </row>
    <row r="891" spans="12:13">
      <c r="L891"/>
      <c r="M891"/>
    </row>
    <row r="892" spans="12:13">
      <c r="L892"/>
      <c r="M892"/>
    </row>
    <row r="893" spans="12:13">
      <c r="L893"/>
      <c r="M893"/>
    </row>
    <row r="894" spans="12:13">
      <c r="L894"/>
      <c r="M894"/>
    </row>
    <row r="895" spans="12:13">
      <c r="L895"/>
      <c r="M895"/>
    </row>
    <row r="896" spans="12:13">
      <c r="L896"/>
      <c r="M896"/>
    </row>
    <row r="897" spans="12:13">
      <c r="L897"/>
      <c r="M897"/>
    </row>
    <row r="898" spans="12:13">
      <c r="L898"/>
      <c r="M898"/>
    </row>
    <row r="899" spans="12:13">
      <c r="L899"/>
      <c r="M899"/>
    </row>
    <row r="900" spans="12:13">
      <c r="L900"/>
      <c r="M900"/>
    </row>
    <row r="901" spans="12:13">
      <c r="L901"/>
      <c r="M901"/>
    </row>
    <row r="902" spans="12:13">
      <c r="L902"/>
      <c r="M902"/>
    </row>
    <row r="903" spans="12:13">
      <c r="L903"/>
      <c r="M903"/>
    </row>
    <row r="904" spans="12:13">
      <c r="L904"/>
      <c r="M904"/>
    </row>
    <row r="905" spans="12:13">
      <c r="L905"/>
      <c r="M905"/>
    </row>
    <row r="906" spans="12:13">
      <c r="L906"/>
      <c r="M906"/>
    </row>
    <row r="907" spans="12:13">
      <c r="L907"/>
      <c r="M907"/>
    </row>
    <row r="908" spans="12:13">
      <c r="L908"/>
      <c r="M908"/>
    </row>
    <row r="909" spans="12:13">
      <c r="L909"/>
      <c r="M909"/>
    </row>
    <row r="910" spans="12:13">
      <c r="L910"/>
      <c r="M910"/>
    </row>
    <row r="911" spans="12:13">
      <c r="L911"/>
      <c r="M911"/>
    </row>
    <row r="912" spans="12:13">
      <c r="L912"/>
      <c r="M912"/>
    </row>
    <row r="913" spans="12:13">
      <c r="L913"/>
      <c r="M913"/>
    </row>
    <row r="914" spans="12:13">
      <c r="L914"/>
      <c r="M914"/>
    </row>
    <row r="915" spans="12:13">
      <c r="L915"/>
      <c r="M915"/>
    </row>
    <row r="916" spans="12:13">
      <c r="L916"/>
      <c r="M916"/>
    </row>
    <row r="917" spans="12:13">
      <c r="L917"/>
      <c r="M917"/>
    </row>
    <row r="918" spans="12:13">
      <c r="L918"/>
      <c r="M918"/>
    </row>
    <row r="919" spans="12:13">
      <c r="L919"/>
      <c r="M919"/>
    </row>
    <row r="920" spans="12:13">
      <c r="L920"/>
      <c r="M920"/>
    </row>
    <row r="921" spans="12:13">
      <c r="L921"/>
      <c r="M921"/>
    </row>
    <row r="922" spans="12:13">
      <c r="L922"/>
      <c r="M922"/>
    </row>
    <row r="923" spans="12:13">
      <c r="L923"/>
      <c r="M923"/>
    </row>
    <row r="924" spans="12:13">
      <c r="L924"/>
      <c r="M924"/>
    </row>
    <row r="925" spans="12:13">
      <c r="L925"/>
      <c r="M925"/>
    </row>
    <row r="926" spans="12:13">
      <c r="L926"/>
      <c r="M926"/>
    </row>
    <row r="927" spans="12:13">
      <c r="L927"/>
      <c r="M927"/>
    </row>
    <row r="928" spans="12:13">
      <c r="L928"/>
      <c r="M928"/>
    </row>
    <row r="929" spans="12:13">
      <c r="L929"/>
      <c r="M929"/>
    </row>
    <row r="930" spans="12:13">
      <c r="L930"/>
      <c r="M930"/>
    </row>
    <row r="931" spans="12:13">
      <c r="L931"/>
      <c r="M931"/>
    </row>
    <row r="932" spans="12:13">
      <c r="L932"/>
      <c r="M932"/>
    </row>
    <row r="933" spans="12:13">
      <c r="L933"/>
      <c r="M933"/>
    </row>
    <row r="934" spans="12:13">
      <c r="L934"/>
      <c r="M934"/>
    </row>
    <row r="935" spans="12:13">
      <c r="L935"/>
      <c r="M935"/>
    </row>
    <row r="936" spans="12:13">
      <c r="L936"/>
      <c r="M936"/>
    </row>
    <row r="937" spans="12:13">
      <c r="L937"/>
      <c r="M937"/>
    </row>
    <row r="938" spans="12:13">
      <c r="L938"/>
      <c r="M938"/>
    </row>
    <row r="939" spans="12:13">
      <c r="L939"/>
      <c r="M939"/>
    </row>
    <row r="940" spans="12:13">
      <c r="L940"/>
      <c r="M940"/>
    </row>
    <row r="941" spans="12:13">
      <c r="L941"/>
      <c r="M941"/>
    </row>
    <row r="942" spans="12:13">
      <c r="L942"/>
      <c r="M942"/>
    </row>
    <row r="943" spans="12:13">
      <c r="L943"/>
      <c r="M943"/>
    </row>
    <row r="944" spans="12:13">
      <c r="L944"/>
      <c r="M944"/>
    </row>
    <row r="945" spans="12:13">
      <c r="L945"/>
      <c r="M945"/>
    </row>
    <row r="946" spans="12:13">
      <c r="L946"/>
      <c r="M946"/>
    </row>
    <row r="947" spans="12:13">
      <c r="L947"/>
      <c r="M947"/>
    </row>
    <row r="948" spans="12:13">
      <c r="L948"/>
      <c r="M948"/>
    </row>
    <row r="949" spans="12:13">
      <c r="L949"/>
      <c r="M949"/>
    </row>
    <row r="950" spans="12:13">
      <c r="L950"/>
      <c r="M950"/>
    </row>
    <row r="951" spans="12:13">
      <c r="L951"/>
      <c r="M951"/>
    </row>
    <row r="952" spans="12:13">
      <c r="L952"/>
      <c r="M952"/>
    </row>
    <row r="953" spans="12:13">
      <c r="L953"/>
      <c r="M953"/>
    </row>
    <row r="954" spans="12:13">
      <c r="L954"/>
      <c r="M954"/>
    </row>
    <row r="955" spans="12:13">
      <c r="L955"/>
      <c r="M955"/>
    </row>
    <row r="956" spans="12:13">
      <c r="L956"/>
      <c r="M956"/>
    </row>
    <row r="957" spans="12:13">
      <c r="L957"/>
      <c r="M957"/>
    </row>
    <row r="958" spans="12:13">
      <c r="L958"/>
      <c r="M958"/>
    </row>
    <row r="959" spans="12:13">
      <c r="L959"/>
      <c r="M959"/>
    </row>
    <row r="960" spans="12:13">
      <c r="L960"/>
      <c r="M960"/>
    </row>
    <row r="961" spans="12:13">
      <c r="L961"/>
      <c r="M961"/>
    </row>
    <row r="962" spans="12:13">
      <c r="L962"/>
      <c r="M962"/>
    </row>
    <row r="963" spans="12:13">
      <c r="L963"/>
      <c r="M963"/>
    </row>
    <row r="964" spans="12:13">
      <c r="L964"/>
      <c r="M964"/>
    </row>
    <row r="965" spans="12:13">
      <c r="L965"/>
      <c r="M965"/>
    </row>
    <row r="966" spans="12:13">
      <c r="L966"/>
      <c r="M966"/>
    </row>
    <row r="967" spans="12:13">
      <c r="L967"/>
      <c r="M967"/>
    </row>
    <row r="968" spans="12:13">
      <c r="L968"/>
      <c r="M968"/>
    </row>
    <row r="969" spans="12:13">
      <c r="L969"/>
      <c r="M969"/>
    </row>
    <row r="970" spans="12:13">
      <c r="L970"/>
      <c r="M970"/>
    </row>
    <row r="971" spans="12:13">
      <c r="L971"/>
      <c r="M971"/>
    </row>
    <row r="972" spans="12:13">
      <c r="L972"/>
      <c r="M972"/>
    </row>
    <row r="973" spans="12:13">
      <c r="L973"/>
      <c r="M973"/>
    </row>
    <row r="974" spans="12:13">
      <c r="L974"/>
      <c r="M974"/>
    </row>
    <row r="975" spans="12:13">
      <c r="L975"/>
      <c r="M975"/>
    </row>
    <row r="976" spans="12:13">
      <c r="L976"/>
      <c r="M976"/>
    </row>
    <row r="977" spans="12:13">
      <c r="L977"/>
      <c r="M977"/>
    </row>
    <row r="978" spans="12:13">
      <c r="L978"/>
      <c r="M978"/>
    </row>
    <row r="979" spans="12:13">
      <c r="L979"/>
      <c r="M979"/>
    </row>
    <row r="980" spans="12:13">
      <c r="L980"/>
      <c r="M980"/>
    </row>
    <row r="981" spans="12:13">
      <c r="L981"/>
      <c r="M981"/>
    </row>
    <row r="982" spans="12:13">
      <c r="L982"/>
      <c r="M982"/>
    </row>
    <row r="983" spans="12:13">
      <c r="L983"/>
      <c r="M983"/>
    </row>
    <row r="984" spans="12:13">
      <c r="L984"/>
      <c r="M984"/>
    </row>
    <row r="985" spans="12:13">
      <c r="L985"/>
      <c r="M985"/>
    </row>
    <row r="986" spans="12:13">
      <c r="L986"/>
      <c r="M986"/>
    </row>
    <row r="987" spans="12:13">
      <c r="L987"/>
      <c r="M987"/>
    </row>
    <row r="988" spans="12:13">
      <c r="L988"/>
      <c r="M988"/>
    </row>
    <row r="989" spans="12:13">
      <c r="L989"/>
      <c r="M989"/>
    </row>
    <row r="990" spans="12:13">
      <c r="L990"/>
      <c r="M990"/>
    </row>
    <row r="991" spans="12:13">
      <c r="L991"/>
      <c r="M991"/>
    </row>
    <row r="992" spans="12:13">
      <c r="L992"/>
      <c r="M992"/>
    </row>
    <row r="993" spans="12:13">
      <c r="L993"/>
      <c r="M993"/>
    </row>
    <row r="994" spans="12:13">
      <c r="L994"/>
      <c r="M994"/>
    </row>
    <row r="995" spans="12:13">
      <c r="L995"/>
      <c r="M995"/>
    </row>
    <row r="996" spans="12:13">
      <c r="L996"/>
      <c r="M996"/>
    </row>
    <row r="997" spans="12:13">
      <c r="L997"/>
      <c r="M997"/>
    </row>
    <row r="998" spans="12:13">
      <c r="L998"/>
      <c r="M998"/>
    </row>
    <row r="999" spans="12:13">
      <c r="L999"/>
      <c r="M999"/>
    </row>
    <row r="1000" spans="12:13">
      <c r="L1000"/>
      <c r="M1000"/>
    </row>
    <row r="1001" spans="12:13">
      <c r="L1001"/>
      <c r="M1001"/>
    </row>
    <row r="1002" spans="12:13">
      <c r="L1002"/>
      <c r="M1002"/>
    </row>
    <row r="1003" spans="12:13">
      <c r="L1003"/>
      <c r="M1003"/>
    </row>
    <row r="1004" spans="12:13">
      <c r="L1004"/>
      <c r="M1004"/>
    </row>
    <row r="1005" spans="12:13">
      <c r="L1005"/>
      <c r="M1005"/>
    </row>
    <row r="1006" spans="12:13">
      <c r="L1006"/>
      <c r="M1006"/>
    </row>
    <row r="1007" spans="12:13">
      <c r="L1007"/>
      <c r="M1007"/>
    </row>
    <row r="1008" spans="12:13">
      <c r="L1008"/>
      <c r="M1008"/>
    </row>
    <row r="1009" spans="12:13">
      <c r="L1009"/>
      <c r="M1009"/>
    </row>
    <row r="1010" spans="12:13">
      <c r="L1010"/>
      <c r="M1010"/>
    </row>
    <row r="1011" spans="12:13">
      <c r="L1011"/>
      <c r="M1011"/>
    </row>
    <row r="1012" spans="12:13">
      <c r="L1012"/>
      <c r="M1012"/>
    </row>
    <row r="1013" spans="12:13">
      <c r="L1013"/>
      <c r="M1013"/>
    </row>
    <row r="1014" spans="12:13">
      <c r="L1014"/>
      <c r="M1014"/>
    </row>
    <row r="1015" spans="12:13">
      <c r="L1015"/>
      <c r="M1015"/>
    </row>
    <row r="1016" spans="12:13">
      <c r="L1016"/>
      <c r="M1016"/>
    </row>
    <row r="1017" spans="12:13">
      <c r="L1017"/>
      <c r="M1017"/>
    </row>
    <row r="1018" spans="12:13">
      <c r="L1018"/>
      <c r="M1018"/>
    </row>
    <row r="1019" spans="12:13">
      <c r="L1019"/>
      <c r="M1019"/>
    </row>
    <row r="1020" spans="12:13">
      <c r="L1020"/>
      <c r="M1020"/>
    </row>
    <row r="1021" spans="12:13">
      <c r="L1021"/>
      <c r="M1021"/>
    </row>
    <row r="1022" spans="12:13">
      <c r="L1022"/>
      <c r="M1022"/>
    </row>
    <row r="1023" spans="12:13">
      <c r="L1023"/>
      <c r="M1023"/>
    </row>
    <row r="1024" spans="12:13">
      <c r="L1024"/>
      <c r="M1024"/>
    </row>
    <row r="1025" spans="12:13">
      <c r="L1025"/>
      <c r="M1025"/>
    </row>
    <row r="1026" spans="12:13">
      <c r="L1026"/>
      <c r="M1026"/>
    </row>
    <row r="1027" spans="12:13">
      <c r="L1027"/>
      <c r="M1027"/>
    </row>
    <row r="1028" spans="12:13">
      <c r="L1028"/>
      <c r="M1028"/>
    </row>
    <row r="1029" spans="12:13">
      <c r="L1029"/>
      <c r="M1029"/>
    </row>
    <row r="1030" spans="12:13">
      <c r="L1030"/>
      <c r="M1030"/>
    </row>
    <row r="1031" spans="12:13">
      <c r="L1031"/>
      <c r="M1031"/>
    </row>
    <row r="1032" spans="12:13">
      <c r="L1032"/>
      <c r="M1032"/>
    </row>
    <row r="1033" spans="12:13">
      <c r="L1033"/>
      <c r="M1033"/>
    </row>
    <row r="1034" spans="12:13">
      <c r="L1034"/>
      <c r="M1034"/>
    </row>
    <row r="1035" spans="12:13">
      <c r="L1035"/>
      <c r="M1035"/>
    </row>
    <row r="1036" spans="12:13">
      <c r="L1036"/>
      <c r="M1036"/>
    </row>
    <row r="1037" spans="12:13">
      <c r="L1037"/>
      <c r="M1037"/>
    </row>
    <row r="1038" spans="12:13">
      <c r="L1038"/>
      <c r="M1038"/>
    </row>
    <row r="1039" spans="12:13">
      <c r="L1039"/>
      <c r="M1039"/>
    </row>
    <row r="1040" spans="12:13">
      <c r="L1040"/>
      <c r="M1040"/>
    </row>
    <row r="1041" spans="12:13">
      <c r="L1041"/>
      <c r="M1041"/>
    </row>
    <row r="1042" spans="12:13">
      <c r="L1042"/>
      <c r="M1042"/>
    </row>
    <row r="1043" spans="12:13">
      <c r="L1043"/>
      <c r="M1043"/>
    </row>
    <row r="1044" spans="12:13">
      <c r="L1044"/>
      <c r="M1044"/>
    </row>
    <row r="1045" spans="12:13">
      <c r="L1045"/>
      <c r="M1045"/>
    </row>
    <row r="1046" spans="12:13">
      <c r="L1046"/>
      <c r="M1046"/>
    </row>
    <row r="1047" spans="12:13">
      <c r="L1047"/>
      <c r="M1047"/>
    </row>
    <row r="1048" spans="12:13">
      <c r="L1048"/>
      <c r="M1048"/>
    </row>
    <row r="1049" spans="12:13">
      <c r="L1049"/>
      <c r="M1049"/>
    </row>
    <row r="1050" spans="12:13">
      <c r="L1050"/>
      <c r="M1050"/>
    </row>
    <row r="1051" spans="12:13">
      <c r="L1051"/>
      <c r="M1051"/>
    </row>
    <row r="1052" spans="12:13">
      <c r="L1052"/>
      <c r="M1052"/>
    </row>
    <row r="1053" spans="12:13">
      <c r="L1053"/>
      <c r="M1053"/>
    </row>
    <row r="1054" spans="12:13">
      <c r="L1054"/>
      <c r="M1054"/>
    </row>
    <row r="1055" spans="12:13">
      <c r="L1055"/>
      <c r="M1055"/>
    </row>
    <row r="1056" spans="12:13">
      <c r="L1056"/>
      <c r="M1056"/>
    </row>
    <row r="1057" spans="12:13">
      <c r="L1057"/>
      <c r="M1057"/>
    </row>
    <row r="1058" spans="12:13">
      <c r="L1058"/>
      <c r="M1058"/>
    </row>
    <row r="1059" spans="12:13">
      <c r="L1059"/>
      <c r="M1059"/>
    </row>
    <row r="1060" spans="12:13">
      <c r="L1060"/>
      <c r="M1060"/>
    </row>
    <row r="1061" spans="12:13">
      <c r="L1061"/>
      <c r="M1061"/>
    </row>
    <row r="1062" spans="12:13">
      <c r="L1062"/>
      <c r="M1062"/>
    </row>
    <row r="1063" spans="12:13">
      <c r="L1063"/>
      <c r="M1063"/>
    </row>
    <row r="1064" spans="12:13">
      <c r="L1064"/>
      <c r="M1064"/>
    </row>
    <row r="1065" spans="12:13">
      <c r="L1065"/>
      <c r="M1065"/>
    </row>
    <row r="1066" spans="12:13">
      <c r="L1066"/>
      <c r="M1066"/>
    </row>
    <row r="1067" spans="12:13">
      <c r="L1067"/>
      <c r="M1067"/>
    </row>
    <row r="1068" spans="12:13">
      <c r="L1068"/>
      <c r="M1068"/>
    </row>
    <row r="1069" spans="12:13">
      <c r="L1069"/>
      <c r="M1069"/>
    </row>
    <row r="1070" spans="12:13">
      <c r="L1070"/>
      <c r="M1070"/>
    </row>
    <row r="1071" spans="12:13">
      <c r="L1071"/>
      <c r="M1071"/>
    </row>
    <row r="1072" spans="12:13">
      <c r="L1072"/>
      <c r="M1072"/>
    </row>
    <row r="1073" spans="12:13">
      <c r="L1073"/>
      <c r="M1073"/>
    </row>
    <row r="1074" spans="12:13">
      <c r="L1074"/>
      <c r="M1074"/>
    </row>
    <row r="1075" spans="12:13">
      <c r="L1075"/>
      <c r="M1075"/>
    </row>
    <row r="1076" spans="12:13">
      <c r="L1076"/>
      <c r="M1076"/>
    </row>
    <row r="1077" spans="12:13">
      <c r="L1077"/>
      <c r="M1077"/>
    </row>
    <row r="1078" spans="12:13">
      <c r="L1078"/>
      <c r="M1078"/>
    </row>
    <row r="1079" spans="12:13">
      <c r="L1079"/>
      <c r="M1079"/>
    </row>
    <row r="1080" spans="12:13">
      <c r="L1080"/>
      <c r="M1080"/>
    </row>
    <row r="1081" spans="12:13">
      <c r="L1081"/>
      <c r="M1081"/>
    </row>
    <row r="1082" spans="12:13">
      <c r="L1082"/>
      <c r="M1082"/>
    </row>
    <row r="1083" spans="12:13">
      <c r="L1083"/>
      <c r="M1083"/>
    </row>
    <row r="1084" spans="12:13">
      <c r="L1084"/>
      <c r="M1084"/>
    </row>
    <row r="1085" spans="12:13">
      <c r="L1085"/>
      <c r="M1085"/>
    </row>
    <row r="1086" spans="12:13">
      <c r="L1086"/>
      <c r="M1086"/>
    </row>
    <row r="1087" spans="12:13">
      <c r="L1087"/>
      <c r="M1087"/>
    </row>
    <row r="1088" spans="12:13">
      <c r="L1088"/>
      <c r="M1088"/>
    </row>
    <row r="1089" spans="12:13">
      <c r="L1089"/>
      <c r="M1089"/>
    </row>
    <row r="1090" spans="12:13">
      <c r="L1090"/>
      <c r="M1090"/>
    </row>
    <row r="1091" spans="12:13">
      <c r="L1091"/>
      <c r="M1091"/>
    </row>
    <row r="1092" spans="12:13">
      <c r="L1092"/>
      <c r="M1092"/>
    </row>
    <row r="1093" spans="12:13">
      <c r="L1093"/>
      <c r="M1093"/>
    </row>
    <row r="1094" spans="12:13">
      <c r="L1094"/>
      <c r="M1094"/>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354ED-1C3E-4BC2-980B-48D6B9E030CC}">
  <dimension ref="A1:P13"/>
  <sheetViews>
    <sheetView workbookViewId="0">
      <selection activeCell="I12" sqref="I12"/>
    </sheetView>
  </sheetViews>
  <sheetFormatPr defaultRowHeight="15"/>
  <cols>
    <col min="1" max="1" width="11" customWidth="1"/>
    <col min="2" max="5" width="12.28515625" bestFit="1" customWidth="1"/>
    <col min="6" max="7" width="10.85546875" customWidth="1"/>
    <col min="8" max="8" width="4.7109375" customWidth="1"/>
    <col min="9" max="11" width="11.42578125" bestFit="1" customWidth="1"/>
    <col min="12" max="12" width="16.7109375" customWidth="1"/>
    <col min="13" max="15" width="11.42578125" bestFit="1" customWidth="1"/>
  </cols>
  <sheetData>
    <row r="1" spans="1:16">
      <c r="A1" t="s">
        <v>2972</v>
      </c>
      <c r="B1" t="s">
        <v>2973</v>
      </c>
      <c r="C1" t="s">
        <v>2974</v>
      </c>
      <c r="D1" t="s">
        <v>2975</v>
      </c>
      <c r="E1" t="s">
        <v>2976</v>
      </c>
      <c r="F1" t="s">
        <v>2977</v>
      </c>
      <c r="G1" t="s">
        <v>2978</v>
      </c>
      <c r="I1" t="s">
        <v>2972</v>
      </c>
      <c r="J1" t="s">
        <v>2973</v>
      </c>
      <c r="K1" t="s">
        <v>2974</v>
      </c>
      <c r="L1" t="s">
        <v>2975</v>
      </c>
      <c r="M1" t="s">
        <v>2976</v>
      </c>
      <c r="N1" t="s">
        <v>2977</v>
      </c>
      <c r="O1" t="s">
        <v>2978</v>
      </c>
    </row>
    <row r="2" spans="1:16">
      <c r="B2" s="3"/>
      <c r="C2" s="3"/>
      <c r="D2" s="3">
        <v>45959</v>
      </c>
      <c r="E2" s="3">
        <v>45960</v>
      </c>
      <c r="F2" s="3">
        <v>45961</v>
      </c>
      <c r="G2" s="3">
        <v>45962</v>
      </c>
      <c r="J2" s="3"/>
      <c r="K2" s="3"/>
      <c r="L2" s="3"/>
      <c r="M2" s="3"/>
      <c r="N2" s="3"/>
      <c r="O2" s="3">
        <v>45962</v>
      </c>
    </row>
    <row r="3" spans="1:16">
      <c r="B3" s="4"/>
      <c r="C3" s="4"/>
      <c r="D3" s="4">
        <f>SUMIF(Tabela1[Estreia MyFonts],D2,Tabela1[Quantidade de Estilos])</f>
        <v>0</v>
      </c>
      <c r="E3" s="4">
        <f>SUMIF(Tabela1[Estreia MyFonts],E2,Tabela1[Quantidade de Estilos])</f>
        <v>0</v>
      </c>
      <c r="F3" s="4">
        <f>SUMIF(Tabela1[Estreia MyFonts],F2,Tabela1[Quantidade de Estilos])</f>
        <v>0</v>
      </c>
      <c r="G3" s="4">
        <f>SUMIF(Tabela1[Estreia MyFonts],G2,Tabela1[Quantidade de Estilos])</f>
        <v>113</v>
      </c>
      <c r="J3" s="6"/>
      <c r="K3" s="6"/>
      <c r="L3" s="6"/>
      <c r="M3" s="6"/>
      <c r="N3" s="6"/>
      <c r="O3" s="6">
        <f>COUNTIF(Tabela1[Estreia MyFonts], O2)</f>
        <v>12</v>
      </c>
    </row>
    <row r="4" spans="1:16">
      <c r="A4" s="3">
        <v>45963</v>
      </c>
      <c r="B4" s="3">
        <v>45964</v>
      </c>
      <c r="C4" s="3">
        <v>45965</v>
      </c>
      <c r="D4" s="3">
        <v>45966</v>
      </c>
      <c r="E4" s="3">
        <v>45967</v>
      </c>
      <c r="F4" s="3">
        <v>45968</v>
      </c>
      <c r="G4" s="3">
        <v>45969</v>
      </c>
      <c r="I4" s="3">
        <v>45963</v>
      </c>
      <c r="J4" s="3">
        <v>45964</v>
      </c>
      <c r="K4" s="3">
        <v>45965</v>
      </c>
      <c r="L4" s="3">
        <v>45966</v>
      </c>
      <c r="M4" s="3">
        <v>45967</v>
      </c>
      <c r="N4" s="3">
        <v>45968</v>
      </c>
      <c r="O4" s="3">
        <v>45969</v>
      </c>
    </row>
    <row r="5" spans="1:16">
      <c r="A5" s="4">
        <f>SUMIF(Tabela1[Estreia MyFonts],A4,Tabela1[Quantidade de Estilos])</f>
        <v>7</v>
      </c>
      <c r="B5" s="4">
        <f>SUMIF(Tabela1[Estreia MyFonts],B4,Tabela1[Quantidade de Estilos])</f>
        <v>139</v>
      </c>
      <c r="C5" s="4">
        <f>SUMIF(Tabela1[Estreia MyFonts],C4,Tabela1[Quantidade de Estilos])</f>
        <v>26</v>
      </c>
      <c r="D5" s="4">
        <f>SUMIF(Tabela1[Estreia MyFonts],D4,Tabela1[Quantidade de Estilos])</f>
        <v>91</v>
      </c>
      <c r="E5" s="4">
        <f>SUMIF(Tabela1[Estreia MyFonts],E4,Tabela1[Quantidade de Estilos])</f>
        <v>136</v>
      </c>
      <c r="F5" s="4">
        <f>SUMIF(Tabela1[Estreia MyFonts],F4,Tabela1[Quantidade de Estilos])</f>
        <v>87</v>
      </c>
      <c r="G5" s="4">
        <f>SUMIF(Tabela1[Estreia MyFonts],G4,Tabela1[Quantidade de Estilos])</f>
        <v>0</v>
      </c>
      <c r="I5" s="6">
        <f>COUNTIF(Tabela1[Estreia MyFonts], I4)</f>
        <v>2</v>
      </c>
      <c r="J5" s="6">
        <f>COUNTIF(Tabela1[Estreia MyFonts], J4)</f>
        <v>23</v>
      </c>
      <c r="K5" s="6">
        <f>COUNTIF(Tabela1[Estreia MyFonts], K4)</f>
        <v>16</v>
      </c>
      <c r="L5" s="6">
        <f>COUNTIF(Tabela1[Estreia MyFonts], L4)</f>
        <v>40</v>
      </c>
      <c r="M5" s="6">
        <f>COUNTIF(Tabela1[Estreia MyFonts], M4)</f>
        <v>51</v>
      </c>
      <c r="N5" s="6">
        <f>COUNTIF(Tabela1[Estreia MyFonts], N4)</f>
        <v>36</v>
      </c>
      <c r="O5" s="6">
        <f>COUNTIF(Tabela1[Estreia MyFonts], O4)</f>
        <v>0</v>
      </c>
    </row>
    <row r="6" spans="1:16">
      <c r="A6" s="3">
        <v>45970</v>
      </c>
      <c r="B6" s="3">
        <v>45971</v>
      </c>
      <c r="C6" s="3">
        <v>45972</v>
      </c>
      <c r="D6" s="3">
        <v>45973</v>
      </c>
      <c r="E6" s="3">
        <v>45974</v>
      </c>
      <c r="F6" s="3">
        <v>45975</v>
      </c>
      <c r="G6" s="3">
        <v>45976</v>
      </c>
      <c r="I6" s="3">
        <v>45970</v>
      </c>
      <c r="J6" s="3">
        <v>45971</v>
      </c>
      <c r="K6" s="3">
        <v>45972</v>
      </c>
      <c r="L6" s="3">
        <v>45973</v>
      </c>
      <c r="M6" s="3">
        <v>45974</v>
      </c>
      <c r="N6" s="3">
        <v>45975</v>
      </c>
      <c r="O6" s="3">
        <v>45976</v>
      </c>
    </row>
    <row r="7" spans="1:16">
      <c r="A7" s="4">
        <f>SUMIF(Tabela1[Estreia MyFonts],A6,Tabela1[Quantidade de Estilos])</f>
        <v>0</v>
      </c>
      <c r="B7" s="4">
        <f>SUMIF(Tabela1[Estreia MyFonts],B6,Tabela1[Quantidade de Estilos])</f>
        <v>162</v>
      </c>
      <c r="C7" s="4">
        <f>SUMIF(Tabela1[Estreia MyFonts],C6,Tabela1[Quantidade de Estilos])</f>
        <v>108</v>
      </c>
      <c r="D7" s="4">
        <f>SUMIF(Tabela1[Estreia MyFonts],D6,Tabela1[Quantidade de Estilos])</f>
        <v>5</v>
      </c>
      <c r="E7" s="4">
        <f>SUMIF(Tabela1[Estreia MyFonts],E6,Tabela1[Quantidade de Estilos])</f>
        <v>150</v>
      </c>
      <c r="F7" s="4">
        <f>SUMIF(Tabela1[Estreia MyFonts],F6,Tabela1[Quantidade de Estilos])</f>
        <v>170</v>
      </c>
      <c r="G7" s="4">
        <f>SUMIF(Tabela1[Estreia MyFonts],G6,Tabela1[Quantidade de Estilos])</f>
        <v>0</v>
      </c>
      <c r="I7" s="6">
        <f>COUNTIF(Tabela1[Estreia MyFonts], I6)</f>
        <v>0</v>
      </c>
      <c r="J7" s="6">
        <f>COUNTIF(Tabela1[Estreia MyFonts], J6)</f>
        <v>63</v>
      </c>
      <c r="K7" s="6">
        <f>COUNTIF(Tabela1[Estreia MyFonts], K6)</f>
        <v>33</v>
      </c>
      <c r="L7" s="6">
        <f>COUNTIF(Tabela1[Estreia MyFonts], L6)</f>
        <v>3</v>
      </c>
      <c r="M7" s="6">
        <f>COUNTIF(Tabela1[Estreia MyFonts], M6)</f>
        <v>36</v>
      </c>
      <c r="N7" s="6">
        <f>COUNTIF(Tabela1[Estreia MyFonts], N6)</f>
        <v>19</v>
      </c>
      <c r="O7" s="6">
        <f>COUNTIF(Tabela1[Estreia MyFonts], O6)</f>
        <v>0</v>
      </c>
    </row>
    <row r="8" spans="1:16">
      <c r="A8" s="3">
        <v>45977</v>
      </c>
      <c r="B8" s="3">
        <v>45978</v>
      </c>
      <c r="C8" s="3">
        <v>45979</v>
      </c>
      <c r="D8" s="3">
        <v>45980</v>
      </c>
      <c r="E8" s="3">
        <v>45981</v>
      </c>
      <c r="F8" s="3">
        <v>45982</v>
      </c>
      <c r="G8" s="3">
        <v>45983</v>
      </c>
      <c r="I8" s="3">
        <v>45977</v>
      </c>
      <c r="J8" s="3">
        <v>45978</v>
      </c>
      <c r="K8" s="3">
        <v>45979</v>
      </c>
      <c r="L8" s="3">
        <v>45980</v>
      </c>
      <c r="M8" s="3">
        <v>45981</v>
      </c>
      <c r="N8" s="3">
        <v>45982</v>
      </c>
      <c r="O8" s="3">
        <v>45983</v>
      </c>
    </row>
    <row r="9" spans="1:16">
      <c r="A9" s="4">
        <f>SUMIF(Tabela1[Estreia MyFonts],A8,Tabela1[Quantidade de Estilos])</f>
        <v>0</v>
      </c>
      <c r="B9" s="4">
        <f>SUMIF(Tabela1[Estreia MyFonts],B8,Tabela1[Quantidade de Estilos])</f>
        <v>0</v>
      </c>
      <c r="C9" s="4">
        <f>SUMIF(Tabela1[Estreia MyFonts],C8,Tabela1[Quantidade de Estilos])</f>
        <v>62</v>
      </c>
      <c r="D9" s="4">
        <f>SUMIF(Tabela1[Estreia MyFonts],D8,Tabela1[Quantidade de Estilos])</f>
        <v>76</v>
      </c>
      <c r="E9" s="4">
        <f>SUMIF(Tabela1[Estreia MyFonts],E8,Tabela1[Quantidade de Estilos])</f>
        <v>245</v>
      </c>
      <c r="F9" s="4">
        <f>SUMIF(Tabela1[Estreia MyFonts],F8,Tabela1[Quantidade de Estilos])</f>
        <v>287</v>
      </c>
      <c r="G9" s="4">
        <f>SUMIF(Tabela1[Estreia MyFonts],G8,Tabela1[Quantidade de Estilos])</f>
        <v>2</v>
      </c>
      <c r="I9" s="6">
        <f>COUNTIF(Tabela1[Estreia MyFonts], I8)</f>
        <v>0</v>
      </c>
      <c r="J9" s="6">
        <f>COUNTIF(Tabela1[Estreia MyFonts], J8)</f>
        <v>0</v>
      </c>
      <c r="K9" s="6">
        <f>COUNTIF(Tabela1[Estreia MyFonts], K8)</f>
        <v>10</v>
      </c>
      <c r="L9" s="6">
        <f>COUNTIF(Tabela1[Estreia MyFonts], L8)</f>
        <v>28</v>
      </c>
      <c r="M9" s="6">
        <f>COUNTIF(Tabela1[Estreia MyFonts], M8)</f>
        <v>70</v>
      </c>
      <c r="N9" s="6">
        <f>COUNTIF(Tabela1[Estreia MyFonts], N8)</f>
        <v>58</v>
      </c>
      <c r="O9" s="6">
        <f>COUNTIF(Tabela1[Estreia MyFonts], O8)</f>
        <v>1</v>
      </c>
    </row>
    <row r="10" spans="1:16">
      <c r="A10" s="3">
        <v>45984</v>
      </c>
      <c r="B10" s="3">
        <v>45985</v>
      </c>
      <c r="C10" s="3">
        <v>45986</v>
      </c>
      <c r="D10" s="3">
        <v>45987</v>
      </c>
      <c r="E10" s="3">
        <v>45988</v>
      </c>
      <c r="F10" s="3">
        <v>45989</v>
      </c>
      <c r="I10" s="3">
        <v>45984</v>
      </c>
      <c r="J10" s="3">
        <v>45985</v>
      </c>
      <c r="K10" s="3">
        <v>45986</v>
      </c>
      <c r="L10" s="3">
        <v>45987</v>
      </c>
      <c r="M10" s="3">
        <v>45988</v>
      </c>
      <c r="N10" s="3">
        <v>45989</v>
      </c>
    </row>
    <row r="11" spans="1:16">
      <c r="A11" s="4">
        <f>SUMIF(Tabela1[Estreia MyFonts],A10,Tabela1[Quantidade de Estilos])</f>
        <v>0</v>
      </c>
      <c r="B11" s="4">
        <f>SUMIF(Tabela1[Estreia MyFonts],B10,Tabela1[Quantidade de Estilos])</f>
        <v>41</v>
      </c>
      <c r="C11" s="4">
        <f>SUMIF(Tabela1[Estreia MyFonts],C10,Tabela1[Quantidade de Estilos])</f>
        <v>286</v>
      </c>
      <c r="D11" s="4">
        <f>SUMIF(Tabela1[Imagem],D10,Tabela1[PreçoMin/Font])</f>
        <v>0</v>
      </c>
      <c r="E11" s="4">
        <f>SUMIF(Tabela1[Link],E10,Tabela1[Estreia MyFonts])</f>
        <v>0</v>
      </c>
      <c r="F11" s="4">
        <f>SUMIF(Tabela1[Tags],F10,Tabela1[Imagem])</f>
        <v>0</v>
      </c>
      <c r="I11" s="6">
        <f>COUNTIF(Tabela1[Estreia MyFonts], I10)</f>
        <v>0</v>
      </c>
      <c r="J11" s="6">
        <f>COUNTIF(Tabela1[Estreia MyFonts], J10)</f>
        <v>11</v>
      </c>
      <c r="K11" s="6">
        <f>COUNTIF(Tabela1[Estreia MyFonts], K10)</f>
        <v>27</v>
      </c>
      <c r="L11" s="6">
        <f>COUNTIF(Tabela1[Estreia MyFonts], L10)</f>
        <v>1</v>
      </c>
      <c r="M11" s="6">
        <f>COUNTIF(Tabela1[Estreia MyFonts], M10)</f>
        <v>73</v>
      </c>
      <c r="N11" s="6">
        <f>COUNTIF(Tabela1[Estreia MyFonts], N10)</f>
        <v>0</v>
      </c>
    </row>
    <row r="12" spans="1:16">
      <c r="D12" s="4"/>
      <c r="F12" s="4"/>
      <c r="G12" s="4"/>
      <c r="L12" s="4"/>
      <c r="N12" s="4"/>
      <c r="O12" s="4"/>
    </row>
    <row r="13" spans="1:16">
      <c r="A13">
        <f>AVERAGE(A3,A5,A7,A9,A11)</f>
        <v>1.75</v>
      </c>
      <c r="B13">
        <f>AVERAGE(B3,B5,B7,B9,B11)</f>
        <v>85.5</v>
      </c>
      <c r="C13">
        <f>AVERAGE(C3,C5,C7,C9,C11)</f>
        <v>120.5</v>
      </c>
      <c r="D13">
        <f t="shared" ref="D13:G13" si="0">AVERAGE(D3,D5,D7,D9,D11)</f>
        <v>34.4</v>
      </c>
      <c r="E13">
        <f t="shared" si="0"/>
        <v>106.2</v>
      </c>
      <c r="F13">
        <f t="shared" si="0"/>
        <v>108.8</v>
      </c>
      <c r="G13">
        <f t="shared" si="0"/>
        <v>28.75</v>
      </c>
      <c r="I13">
        <f>AVERAGE(I3,I5,I7,I9,I11)</f>
        <v>0.5</v>
      </c>
      <c r="J13" s="12">
        <f>AVERAGE(J3,J5,J7)</f>
        <v>43</v>
      </c>
      <c r="K13" s="12">
        <f>AVERAGE(K3,K5,K7)</f>
        <v>24.5</v>
      </c>
      <c r="L13" s="12">
        <f>AVERAGE(L3,L5,L7)</f>
        <v>21.5</v>
      </c>
      <c r="M13" s="12">
        <f>AVERAGE(M3,M5,M7)</f>
        <v>43.5</v>
      </c>
      <c r="N13" s="12">
        <f>AVERAGE(N3,N5,N7)</f>
        <v>27.5</v>
      </c>
      <c r="O13">
        <f t="shared" ref="L13:O13" si="1">AVERAGE(O3,O5,O7,O9,O11)</f>
        <v>3.25</v>
      </c>
      <c r="P13" s="12">
        <f>AVERAGE(J13:N13)</f>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91E5-A938-4CDB-92A6-A5B6CAB9F228}">
  <dimension ref="A1:K44"/>
  <sheetViews>
    <sheetView tabSelected="1" topLeftCell="G32" workbookViewId="0">
      <selection activeCell="G6" sqref="G6"/>
    </sheetView>
  </sheetViews>
  <sheetFormatPr defaultRowHeight="15"/>
  <cols>
    <col min="1" max="1" width="27.28515625" bestFit="1" customWidth="1"/>
    <col min="2" max="2" width="19.140625" bestFit="1" customWidth="1"/>
    <col min="3" max="3" width="14.42578125" bestFit="1" customWidth="1"/>
    <col min="4" max="4" width="17" bestFit="1" customWidth="1"/>
    <col min="5" max="5" width="22.5703125" bestFit="1" customWidth="1"/>
    <col min="7" max="7" width="20" customWidth="1"/>
    <col min="8" max="8" width="21.5703125" customWidth="1"/>
    <col min="9" max="9" width="15.7109375" bestFit="1" customWidth="1"/>
    <col min="10" max="10" width="18.140625" bestFit="1" customWidth="1"/>
    <col min="11" max="11" width="22.5703125" bestFit="1" customWidth="1"/>
  </cols>
  <sheetData>
    <row r="1" spans="1:11">
      <c r="A1" s="7" t="s">
        <v>2979</v>
      </c>
      <c r="B1" s="7" t="s">
        <v>2980</v>
      </c>
      <c r="C1" s="7" t="s">
        <v>2981</v>
      </c>
      <c r="D1" s="7" t="s">
        <v>2982</v>
      </c>
      <c r="E1" s="8" t="s">
        <v>2983</v>
      </c>
      <c r="G1" s="7" t="s">
        <v>2979</v>
      </c>
      <c r="H1" s="7" t="s">
        <v>2980</v>
      </c>
      <c r="I1" s="7" t="s">
        <v>2981</v>
      </c>
      <c r="J1" s="7" t="s">
        <v>2982</v>
      </c>
      <c r="K1" s="8" t="s">
        <v>2983</v>
      </c>
    </row>
    <row r="2" spans="1:11">
      <c r="A2" s="24" t="e">
        <f>MAX(Sheet1!$G$2:$G$1351)/$A$5</f>
        <v>#VALUE!</v>
      </c>
      <c r="B2" s="10">
        <f>MAX(Sheet1!$M$2:$M$1351)</f>
        <v>43</v>
      </c>
      <c r="C2" s="11">
        <f>MAX(Sheet1!$F2:$F1351)</f>
        <v>141</v>
      </c>
      <c r="D2" s="12">
        <f>AVERAGE(Sheet1!$F2:$F1339)</f>
        <v>4.2263843648208468</v>
      </c>
      <c r="E2">
        <f>MAX(Sheet1!$N$2:$N$1351)</f>
        <v>73</v>
      </c>
      <c r="G2" s="24" t="e">
        <f>MAX(Sheet1!$G$2:$G$1351)/$A$5</f>
        <v>#VALUE!</v>
      </c>
      <c r="H2" s="10">
        <f>MAX(Sheet1!$M$2:$M$1351)</f>
        <v>43</v>
      </c>
      <c r="I2" s="11">
        <f>MAX(Sheet1!$F2:$F1351)</f>
        <v>141</v>
      </c>
      <c r="J2" s="12">
        <f>AVERAGE(Sheet1!$F2:$F1339)</f>
        <v>4.2263843648208468</v>
      </c>
      <c r="K2">
        <f>MAX(Sheet1!$N$2:$N$1351)</f>
        <v>73</v>
      </c>
    </row>
    <row r="3" spans="1:11">
      <c r="A3" s="7" t="s">
        <v>2984</v>
      </c>
      <c r="B3" s="13" t="s">
        <v>2985</v>
      </c>
      <c r="C3" s="13" t="s">
        <v>2986</v>
      </c>
      <c r="D3" s="13" t="s">
        <v>2987</v>
      </c>
      <c r="E3" s="14" t="s">
        <v>2988</v>
      </c>
      <c r="G3" s="7" t="s">
        <v>2984</v>
      </c>
      <c r="H3" s="13" t="s">
        <v>2985</v>
      </c>
      <c r="I3" s="13" t="s">
        <v>2986</v>
      </c>
      <c r="J3" s="13" t="s">
        <v>2987</v>
      </c>
      <c r="K3" s="14" t="s">
        <v>2988</v>
      </c>
    </row>
    <row r="4" spans="1:11">
      <c r="A4" s="15">
        <f>MIN(Sheet1!E2:E1465)/$A$5</f>
        <v>9.1899441340782122</v>
      </c>
      <c r="B4" s="15">
        <f>MIN(Sheet1!D2:D1465)/$A$5</f>
        <v>0.30540037243947854</v>
      </c>
      <c r="C4" s="9" t="e">
        <f>AVERAGE(Sheet1!$G$2:$G$1351)/$A$5</f>
        <v>#VALUE!</v>
      </c>
      <c r="D4" s="15">
        <f>AVERAGE(Sheet1!D2:D1351)/$A$5</f>
        <v>27.139955944474643</v>
      </c>
      <c r="E4">
        <f>MIN(Sheet1!$N$2:$N$1351)</f>
        <v>1</v>
      </c>
      <c r="G4" s="15">
        <f>MIN(Sheet1!K2:K1465)/$A$5</f>
        <v>0</v>
      </c>
      <c r="H4" s="15">
        <f>MIN(Sheet1!J2:J1465)/$A$5</f>
        <v>0</v>
      </c>
      <c r="I4" s="9" t="e">
        <f>AVERAGE(Sheet1!$G$2:$G$1351)/$A$5</f>
        <v>#VALUE!</v>
      </c>
      <c r="J4" s="15" t="e">
        <f>AVERAGE(Sheet1!J2:J1351)/$A$5</f>
        <v>#DIV/0!</v>
      </c>
      <c r="K4">
        <f>MIN(Sheet1!$N$2:$N$1351)</f>
        <v>1</v>
      </c>
    </row>
    <row r="5" spans="1:11">
      <c r="A5" s="16">
        <v>5.37</v>
      </c>
      <c r="B5" s="17" t="s">
        <v>2989</v>
      </c>
      <c r="G5" s="16">
        <v>5.3</v>
      </c>
      <c r="H5" s="17" t="s">
        <v>2989</v>
      </c>
    </row>
    <row r="7" spans="1:11">
      <c r="A7" s="18" t="s">
        <v>2990</v>
      </c>
      <c r="B7" s="19" t="s">
        <v>2991</v>
      </c>
      <c r="C7" s="19" t="s">
        <v>2992</v>
      </c>
      <c r="D7" s="13" t="s">
        <v>2993</v>
      </c>
      <c r="E7" s="20" t="s">
        <v>2994</v>
      </c>
      <c r="G7" s="18" t="s">
        <v>2990</v>
      </c>
      <c r="H7" s="19" t="s">
        <v>2991</v>
      </c>
      <c r="I7" s="19" t="s">
        <v>2992</v>
      </c>
      <c r="J7" s="13" t="s">
        <v>2993</v>
      </c>
      <c r="K7" s="20" t="s">
        <v>2994</v>
      </c>
    </row>
    <row r="8" spans="1:11">
      <c r="A8" s="15">
        <f>MAX(Sheet1!$D$2:$D1404)/$A$5</f>
        <v>326.72439478584727</v>
      </c>
      <c r="B8" s="25">
        <f>MIN(Sheet1!E1:E1339)/$A$5</f>
        <v>9.1899441340782122</v>
      </c>
      <c r="C8" s="15">
        <f>MAX(Sheet1!$E$2:$E$1465)/$A$5</f>
        <v>599.24208566108007</v>
      </c>
      <c r="D8" s="15">
        <f>AVERAGE(Sheet1!$E$2:$E$1351)/$A$5</f>
        <v>52.504556615744598</v>
      </c>
      <c r="E8" s="12">
        <f>AVERAGE(Sheet1!$N$2:$N$1351)</f>
        <v>46.390879478827358</v>
      </c>
      <c r="G8" s="15">
        <f>MAX(Sheet1!$D$2:$D1404)/$A$5</f>
        <v>326.72439478584727</v>
      </c>
      <c r="H8" s="25">
        <f>MIN(Sheet1!K1:K1339)/$A$5</f>
        <v>0</v>
      </c>
      <c r="I8" s="15">
        <f>MAX(Sheet1!$E$2:$E$1465)/$A$5</f>
        <v>599.24208566108007</v>
      </c>
      <c r="J8" s="15">
        <f>AVERAGE(Sheet1!$E$2:$E$1351)/$A$5</f>
        <v>52.504556615744598</v>
      </c>
      <c r="K8" s="12">
        <f>AVERAGE(Sheet1!$N$2:$N$1351)</f>
        <v>46.390879478827358</v>
      </c>
    </row>
    <row r="9" spans="1:11">
      <c r="A9" s="21"/>
      <c r="B9" s="25"/>
      <c r="E9" s="22"/>
      <c r="G9" s="21"/>
      <c r="H9" s="25"/>
      <c r="K9" s="22"/>
    </row>
    <row r="10" spans="1:11">
      <c r="E10" s="22"/>
      <c r="K10" s="22"/>
    </row>
    <row r="11" spans="1:11">
      <c r="A11" s="7"/>
      <c r="B11" s="7"/>
      <c r="C11" s="7"/>
      <c r="D11" s="7"/>
      <c r="E11" s="8"/>
      <c r="G11" s="7"/>
      <c r="H11" s="7"/>
      <c r="I11" s="7"/>
      <c r="J11" s="7"/>
      <c r="K11" s="8"/>
    </row>
    <row r="12" spans="1:11">
      <c r="A12" t="s">
        <v>2995</v>
      </c>
      <c r="B12" t="e" cm="1">
        <f t="array" aca="1" ref="B12" ca="1">_xlfn.XLOOKUP(A2*A5,Sheet1!$G$2:$G$1351,Sheet1!$A$2:$A$1351,Sem Nome, -1,1)</f>
        <v>#VALUE!</v>
      </c>
      <c r="C12" t="s">
        <v>2996</v>
      </c>
      <c r="D12" s="25" t="s">
        <v>2997</v>
      </c>
      <c r="E12" s="25" t="e">
        <f>TEXT(A2, "0.00")</f>
        <v>#VALUE!</v>
      </c>
      <c r="F12" t="s">
        <v>2998</v>
      </c>
      <c r="G12" t="s">
        <v>2995</v>
      </c>
      <c r="H12" t="e" cm="1">
        <f t="array" aca="1" ref="H12" ca="1">_xlfn.XLOOKUP(G2*G5,Sheet1!$G$2:$G$1351,Sheet1!$A$2:$A$1351,Sem Nome, -1,1)</f>
        <v>#VALUE!</v>
      </c>
      <c r="I12" t="s">
        <v>2996</v>
      </c>
      <c r="J12" s="25" t="s">
        <v>2997</v>
      </c>
      <c r="K12" s="25" t="e">
        <f>TEXT(G2, "0.00")</f>
        <v>#VALUE!</v>
      </c>
    </row>
    <row r="13" spans="1:11">
      <c r="A13" t="s">
        <v>2999</v>
      </c>
      <c r="B13" t="str" cm="1">
        <f t="array" aca="1" ref="B13" ca="1">_xlfn.XLOOKUP(A4*$A$5,Sheet1!$G$2:$G$1351,Sheet1!$A$2:$A$1351,Sem Nome, 0,1)</f>
        <v>Faboulus Tintonya</v>
      </c>
      <c r="C13" t="s">
        <v>2996</v>
      </c>
      <c r="D13" s="25" t="s">
        <v>2997</v>
      </c>
      <c r="E13" s="25" t="str">
        <f>TEXT(A4, "0.00")</f>
        <v>9.19</v>
      </c>
      <c r="F13" t="s">
        <v>2998</v>
      </c>
      <c r="G13" t="s">
        <v>2999</v>
      </c>
      <c r="H13" t="e" cm="1">
        <f t="array" aca="1" ref="H13" ca="1">_xlfn.XLOOKUP(G4*$A$5,Sheet1!$G$2:$G$1351,Sheet1!$A$2:$A$1351,Sem Nome, 0,1)</f>
        <v>#NAME?</v>
      </c>
      <c r="I13" t="s">
        <v>2996</v>
      </c>
      <c r="J13" s="25" t="s">
        <v>2997</v>
      </c>
      <c r="K13" s="25" t="str">
        <f>TEXT(G4, "0.00")</f>
        <v>0.00</v>
      </c>
    </row>
    <row r="14" spans="1:11">
      <c r="A14" t="s">
        <v>3000</v>
      </c>
      <c r="B14" t="s">
        <v>2997</v>
      </c>
      <c r="C14" s="25" t="e">
        <f>TEXT(C4, "0.00")</f>
        <v>#VALUE!</v>
      </c>
      <c r="D14" t="s">
        <v>2998</v>
      </c>
      <c r="G14" t="s">
        <v>3000</v>
      </c>
      <c r="H14" t="s">
        <v>2997</v>
      </c>
      <c r="I14" s="25" t="e">
        <f>TEXT(I4, "0.00")</f>
        <v>#VALUE!</v>
      </c>
      <c r="J14" t="s">
        <v>2998</v>
      </c>
    </row>
    <row r="16" spans="1:11">
      <c r="A16" t="s">
        <v>3001</v>
      </c>
      <c r="B16" t="str" cm="1">
        <f t="array" aca="1" ref="B16" ca="1">_xlfn.XLOOKUP(D16,Sheet1!$N$2:$N$1351,Sheet1!$B$2:$B$1351,Sem Nome, -1,1)</f>
        <v>Letterena Studios</v>
      </c>
      <c r="C16" t="s">
        <v>3002</v>
      </c>
      <c r="D16" s="12">
        <f>B2</f>
        <v>43</v>
      </c>
      <c r="E16" t="s">
        <v>3003</v>
      </c>
      <c r="G16" t="s">
        <v>3001</v>
      </c>
      <c r="H16" t="str" cm="1">
        <f t="array" aca="1" ref="H16" ca="1">_xlfn.XLOOKUP(J16,Sheet1!$N$2:$N$1351,Sheet1!$B$2:$B$1351,Sem Nome, -1,1)</f>
        <v>Letterena Studios</v>
      </c>
      <c r="I16" t="s">
        <v>3002</v>
      </c>
      <c r="J16" s="12">
        <f>H2</f>
        <v>43</v>
      </c>
      <c r="K16" t="s">
        <v>3003</v>
      </c>
    </row>
    <row r="17" spans="1:11">
      <c r="A17" t="str" cm="1">
        <f t="array" aca="1" ref="A17" ca="1">_xlfn.XLOOKUP(D17,Sheet1!$F$2:$F$1351,Sheet1!$A$2:$A$1351,Sem Nome, 0,1)</f>
        <v>Velion</v>
      </c>
      <c r="B17" t="s">
        <v>3004</v>
      </c>
      <c r="C17" t="s">
        <v>3002</v>
      </c>
      <c r="D17" s="11">
        <f>C2</f>
        <v>141</v>
      </c>
      <c r="E17" t="s">
        <v>3005</v>
      </c>
      <c r="G17" t="str" cm="1">
        <f t="array" aca="1" ref="G17" ca="1">_xlfn.XLOOKUP(J17,Sheet1!$F$2:$F$1351,Sheet1!$A$2:$A$1351,Sem Nome, 0,1)</f>
        <v>Velion</v>
      </c>
      <c r="H17" t="s">
        <v>3004</v>
      </c>
      <c r="I17" t="s">
        <v>3002</v>
      </c>
      <c r="J17" s="11">
        <f>I2</f>
        <v>141</v>
      </c>
      <c r="K17" t="s">
        <v>3005</v>
      </c>
    </row>
    <row r="18" spans="1:11">
      <c r="A18" t="s">
        <v>3006</v>
      </c>
      <c r="B18" t="s">
        <v>2997</v>
      </c>
      <c r="C18" s="12" t="str">
        <f>TEXT(D2, "0.00")</f>
        <v>4.23</v>
      </c>
      <c r="D18" t="s">
        <v>3007</v>
      </c>
      <c r="G18" t="s">
        <v>3006</v>
      </c>
      <c r="H18" t="s">
        <v>2997</v>
      </c>
      <c r="I18" s="12" t="str">
        <f>TEXT(J2, "0.00")</f>
        <v>4.23</v>
      </c>
      <c r="J18" t="s">
        <v>3007</v>
      </c>
    </row>
    <row r="20" spans="1:11">
      <c r="A20" t="s">
        <v>3008</v>
      </c>
      <c r="B20">
        <f>E2</f>
        <v>73</v>
      </c>
      <c r="C20" t="s">
        <v>3009</v>
      </c>
      <c r="D20" t="s">
        <v>3010</v>
      </c>
      <c r="F20" s="12" t="str">
        <f>TEXT(E8, "0.00")</f>
        <v>46.39</v>
      </c>
      <c r="G20" t="s">
        <v>3008</v>
      </c>
      <c r="H20">
        <f>K2</f>
        <v>73</v>
      </c>
      <c r="I20" t="s">
        <v>3009</v>
      </c>
      <c r="J20" t="s">
        <v>3010</v>
      </c>
    </row>
    <row r="22" spans="1:11">
      <c r="A22" t="s">
        <v>3011</v>
      </c>
      <c r="B22" s="25" t="s">
        <v>2997</v>
      </c>
      <c r="C22" s="25" t="str">
        <f>TEXT(C8, "0.00")</f>
        <v>599.24</v>
      </c>
      <c r="D22" t="s">
        <v>3012</v>
      </c>
      <c r="E22" t="str" cm="1">
        <f t="array" aca="1" ref="E22" ca="1">_xlfn.XLOOKUP(C22*$A$5,Sheet1!$E$2:$E$1351,Sheet1!$A$2:$A$1351,Sem Nome, -1,1)</f>
        <v>BT Circuit</v>
      </c>
      <c r="F22" t="s">
        <v>3013</v>
      </c>
      <c r="G22" t="s">
        <v>3011</v>
      </c>
      <c r="H22" s="25" t="s">
        <v>2997</v>
      </c>
      <c r="I22" s="25" t="str">
        <f>TEXT(I8, "0.00")</f>
        <v>599.24</v>
      </c>
      <c r="J22" t="s">
        <v>3012</v>
      </c>
      <c r="K22" t="str" cm="1">
        <f t="array" aca="1" ref="K22" ca="1">_xlfn.XLOOKUP(I22*$A$5,Sheet1!$E$2:$E$1351,Sheet1!$A$2:$A$1351,Sem Nome, -1,1)</f>
        <v>BT Circuit</v>
      </c>
    </row>
    <row r="24" spans="1:11">
      <c r="A24" t="s">
        <v>3014</v>
      </c>
      <c r="B24" s="25" t="s">
        <v>2997</v>
      </c>
      <c r="C24" t="str">
        <f>TEXT(B8,"0.00")</f>
        <v>9.19</v>
      </c>
      <c r="D24" t="s">
        <v>3015</v>
      </c>
      <c r="E24" t="str" cm="1">
        <f t="array" aca="1" ref="E24" ca="1">_xlfn.XLOOKUP(C26*$A$5,Sheet1!$E$2:$E$1351,Sheet1!$A$2:$A$1351,Sem Nome, -1,-1)</f>
        <v>Myrak</v>
      </c>
      <c r="F24" t="s">
        <v>3013</v>
      </c>
      <c r="G24" t="s">
        <v>3014</v>
      </c>
      <c r="H24" s="25" t="s">
        <v>2997</v>
      </c>
      <c r="I24" t="str">
        <f>TEXT(H8,"0.00")</f>
        <v>0.00</v>
      </c>
      <c r="J24" t="s">
        <v>3015</v>
      </c>
      <c r="K24" t="str" cm="1">
        <f t="array" aca="1" ref="K24" ca="1">_xlfn.XLOOKUP(I26*$A$5,Sheet1!$E$2:$E$1351,Sheet1!$A$2:$A$1351,Sem Nome, -1,-1)</f>
        <v>Myrak</v>
      </c>
    </row>
    <row r="26" spans="1:11">
      <c r="A26" t="s">
        <v>3016</v>
      </c>
      <c r="B26" t="s">
        <v>2997</v>
      </c>
      <c r="C26" s="15" t="str">
        <f>TEXT(B2, "0.00")</f>
        <v>43.00</v>
      </c>
      <c r="D26" t="s">
        <v>3015</v>
      </c>
      <c r="E26" t="str" cm="1">
        <f t="array" aca="1" ref="E26" ca="1">_xlfn.XLOOKUP(C26*$A$5,Sheet1!$D$2:$D$1351,Sheet1!$A$2:$A$1351,Sem Nome, -1,-1)</f>
        <v>Ethere S VF</v>
      </c>
      <c r="F26" t="s">
        <v>2998</v>
      </c>
      <c r="G26" t="s">
        <v>3016</v>
      </c>
      <c r="H26" t="s">
        <v>2997</v>
      </c>
      <c r="I26" s="15" t="str">
        <f>TEXT(H2, "0.00")</f>
        <v>43.00</v>
      </c>
      <c r="J26" t="s">
        <v>3015</v>
      </c>
      <c r="K26" t="str" cm="1">
        <f t="array" aca="1" ref="K26" ca="1">_xlfn.XLOOKUP(I26*$A$5,Sheet1!$D$2:$D$1351,Sheet1!$A$2:$A$1351,Sem Nome, -1,-1)</f>
        <v>Ethere S VF</v>
      </c>
    </row>
    <row r="28" spans="1:11">
      <c r="A28" t="e">
        <f ca="1">_xlfn.CONCAT(A12,B12,C12,D12,E12,F12,G12, H12, I12,J12)</f>
        <v>#VALUE!</v>
      </c>
      <c r="G28" t="e">
        <f ca="1">_xlfn.CONCAT(G12,H12,I12,J12,K12,L12,M12, N12, O12,P12)</f>
        <v>#VALUE!</v>
      </c>
    </row>
    <row r="29" spans="1:11">
      <c r="A29" t="e">
        <f t="shared" ref="A29:A41" ca="1" si="0">_xlfn.CONCAT(A13,B13,C13,D13,E13,F13,G13, H13, I13,J13)</f>
        <v>#NAME?</v>
      </c>
      <c r="G29" t="e">
        <f t="shared" ref="G29:G41" ca="1" si="1">_xlfn.CONCAT(G13,H13,I13,J13,K13,L13,M13, N13, O13,P13)</f>
        <v>#NAME?</v>
      </c>
    </row>
    <row r="30" spans="1:11">
      <c r="A30" t="e">
        <f t="shared" si="0"/>
        <v>#VALUE!</v>
      </c>
      <c r="G30" t="e">
        <f t="shared" si="1"/>
        <v>#VALUE!</v>
      </c>
    </row>
    <row r="32" spans="1:11">
      <c r="A32" t="str">
        <f t="shared" ca="1" si="0"/>
        <v>A fundidora que lançou mais fontes foi a Letterena Studios com o total de 43 fontes lançadas.A fundidora que lançou mais fontes foi a Letterena Studios com o total de 43</v>
      </c>
      <c r="G32" t="str">
        <f t="shared" ca="1" si="1"/>
        <v>A fundidora que lançou mais fontes foi a Letterena Studios com o total de 43 fontes lançadas.</v>
      </c>
    </row>
    <row r="33" spans="1:7">
      <c r="A33" t="str">
        <f t="shared" ca="1" si="0"/>
        <v>Velion É a fonte com o maior número de estilos  com o total de 141 estilos lançados.Velion É a fonte com o maior número de estilos  com o total de 141</v>
      </c>
      <c r="G33" t="str">
        <f t="shared" ca="1" si="1"/>
        <v>Velion É a fonte com o maior número de estilos  com o total de 141 estilos lançados.</v>
      </c>
    </row>
    <row r="34" spans="1:7">
      <c r="A34" t="str">
        <f t="shared" si="0"/>
        <v>Superando a média de $ 4.23 por fonte no geral.Superando a média de $ 4.23 por fonte no geral.</v>
      </c>
      <c r="G34" t="str">
        <f t="shared" si="1"/>
        <v>Superando a média de $ 4.23 por fonte no geral.</v>
      </c>
    </row>
    <row r="36" spans="1:7">
      <c r="A36" t="str">
        <f t="shared" si="0"/>
        <v xml:space="preserve">O dia com mais lançamentos consecutivos teve 73 fontes lançadas a média é de 46.39O dia com mais lançamentos consecutivos teve 73 fontes lançadas a média é de </v>
      </c>
      <c r="G36" t="str">
        <f t="shared" si="1"/>
        <v xml:space="preserve">O dia com mais lançamentos consecutivos teve 73 fontes lançadas a média é de </v>
      </c>
    </row>
    <row r="37" spans="1:7">
      <c r="A37" t="str">
        <f t="shared" si="0"/>
        <v/>
      </c>
      <c r="G37" t="str">
        <f t="shared" si="1"/>
        <v/>
      </c>
    </row>
    <row r="38" spans="1:7">
      <c r="A38" t="str">
        <f t="shared" ca="1" si="0"/>
        <v xml:space="preserve">Ainda sobre preços o pacote mais caro custa $ 599.24e se chama BT Circuit com Ainda sobre preços o pacote mais caro custa $ 599.24e se chama </v>
      </c>
      <c r="G38" t="str">
        <f t="shared" ca="1" si="1"/>
        <v>Ainda sobre preços o pacote mais caro custa $ 599.24e se chama BT Circuit</v>
      </c>
    </row>
    <row r="39" spans="1:7">
      <c r="A39" t="str">
        <f t="shared" si="0"/>
        <v/>
      </c>
      <c r="G39" t="str">
        <f t="shared" si="1"/>
        <v/>
      </c>
    </row>
    <row r="40" spans="1:7">
      <c r="A40" t="str">
        <f t="shared" ca="1" si="0"/>
        <v xml:space="preserve">O pacote com o menor preço custa $ 9.19 e se chama Myrak com O pacote com o menor preço custa $ 0.00 e se chama </v>
      </c>
      <c r="G40" t="str">
        <f t="shared" ca="1" si="1"/>
        <v>O pacote com o menor preço custa $ 0.00 e se chama Myrak</v>
      </c>
    </row>
    <row r="41" spans="1:7">
      <c r="A41" t="str">
        <f t="shared" si="0"/>
        <v/>
      </c>
      <c r="G41" t="str">
        <f t="shared" si="1"/>
        <v/>
      </c>
    </row>
    <row r="42" spans="1:7">
      <c r="A42" t="str">
        <f ca="1">_xlfn.CONCAT(A26,B26,C26,D26,E26,F26)</f>
        <v>O peso individual mais barato custa $ 43.00 e se chama Ethere S VF.</v>
      </c>
      <c r="G42" t="str">
        <f ca="1">_xlfn.CONCAT(G26,H26,I26,J26,K26,L26)</f>
        <v>O peso individual mais barato custa $ 43.00 e se chama Ethere S VF</v>
      </c>
    </row>
    <row r="44" spans="1:7">
      <c r="A44" t="str">
        <f ca="1">_xlfn.CONCAT(G26,H26,J26,I26,K26)</f>
        <v>O peso individual mais barato custa $  e se chama 43.00Ethere S VF</v>
      </c>
      <c r="G44" t="str">
        <f>_xlfn.CONCAT(M26,N26,P26,O26,Q26)</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2025-10-04T13:26:20Z</dcterms:created>
  <dcterms:modified xsi:type="dcterms:W3CDTF">2026-03-17T23:39:41Z</dcterms:modified>
  <cp:category/>
  <cp:contentStatus/>
</cp:coreProperties>
</file>