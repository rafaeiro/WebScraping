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hidePivotFieldList="1"/>
  <xr:revisionPtr revIDLastSave="0" documentId="8_{D0C65683-62D8-4F1E-A86C-95CC164C1ADA}" xr6:coauthVersionLast="47" xr6:coauthVersionMax="47" xr10:uidLastSave="{00000000-0000-0000-0000-000000000000}"/>
  <bookViews>
    <workbookView xWindow="0" yWindow="0" windowWidth="0" windowHeight="0" firstSheet="2" activeTab="2" xr2:uid="{00000000-000D-0000-FFFF-FFFF00000000}"/>
  </bookViews>
  <sheets>
    <sheet name="Sheet1" sheetId="1" r:id="rId1"/>
    <sheet name="Semana" sheetId="2" r:id="rId2"/>
    <sheet name="Resultado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3" l="1"/>
  <c r="G41" i="3"/>
  <c r="G39" i="3"/>
  <c r="G37" i="3"/>
  <c r="K8" i="3"/>
  <c r="J8" i="3"/>
  <c r="I8" i="3"/>
  <c r="I22" i="3" s="1"/>
  <c r="H8" i="3"/>
  <c r="I24" i="3" s="1"/>
  <c r="G8" i="3"/>
  <c r="K4" i="3"/>
  <c r="J4" i="3"/>
  <c r="I4" i="3"/>
  <c r="I14" i="3" s="1"/>
  <c r="G30" i="3" s="1"/>
  <c r="H4" i="3"/>
  <c r="G4" i="3"/>
  <c r="K2" i="3"/>
  <c r="H20" i="3" s="1"/>
  <c r="G36" i="3" s="1"/>
  <c r="J2" i="3"/>
  <c r="I18" i="3" s="1"/>
  <c r="G34" i="3" s="1"/>
  <c r="I2" i="3"/>
  <c r="J17" i="3" s="1"/>
  <c r="G17" i="3" s="1" a="1"/>
  <c r="G17" i="3" s="1"/>
  <c r="G33" i="3" s="1"/>
  <c r="H2" i="3"/>
  <c r="G2" i="3"/>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N9" i="2"/>
  <c r="M7" i="2"/>
  <c r="M366" i="1"/>
  <c r="M367" i="1"/>
  <c r="M368" i="1"/>
  <c r="M369" i="1"/>
  <c r="M370" i="1"/>
  <c r="M371" i="1"/>
  <c r="M372" i="1"/>
  <c r="M373" i="1"/>
  <c r="M374" i="1"/>
  <c r="M375" i="1"/>
  <c r="M376" i="1"/>
  <c r="M377" i="1"/>
  <c r="M378" i="1"/>
  <c r="M379" i="1"/>
  <c r="M380" i="1"/>
  <c r="M381" i="1"/>
  <c r="M382" i="1"/>
  <c r="M383" i="1"/>
  <c r="N366" i="1"/>
  <c r="N367" i="1"/>
  <c r="N368" i="1"/>
  <c r="N369" i="1"/>
  <c r="N370" i="1"/>
  <c r="N371" i="1"/>
  <c r="N372" i="1"/>
  <c r="N373" i="1"/>
  <c r="N374" i="1"/>
  <c r="N375" i="1"/>
  <c r="N376" i="1"/>
  <c r="N377" i="1"/>
  <c r="N378" i="1"/>
  <c r="N379" i="1"/>
  <c r="N380" i="1"/>
  <c r="N381" i="1"/>
  <c r="N382" i="1"/>
  <c r="N383" i="1"/>
  <c r="G383" i="1"/>
  <c r="G382" i="1"/>
  <c r="G381" i="1"/>
  <c r="G380" i="1"/>
  <c r="G379" i="1"/>
  <c r="G378" i="1"/>
  <c r="G377" i="1"/>
  <c r="G376" i="1"/>
  <c r="G375" i="1"/>
  <c r="G374" i="1"/>
  <c r="G373" i="1"/>
  <c r="G372" i="1"/>
  <c r="G371" i="1"/>
  <c r="G370" i="1"/>
  <c r="G369" i="1"/>
  <c r="G368" i="1"/>
  <c r="G367" i="1"/>
  <c r="G366"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A41" i="3"/>
  <c r="A39" i="3"/>
  <c r="A37" i="3"/>
  <c r="L3" i="2"/>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M119" i="1"/>
  <c r="M120" i="1"/>
  <c r="M121" i="1"/>
  <c r="M122" i="1"/>
  <c r="M123" i="1"/>
  <c r="M124" i="1"/>
  <c r="M125" i="1"/>
  <c r="M126" i="1"/>
  <c r="M127" i="1"/>
  <c r="M128" i="1"/>
  <c r="M129" i="1"/>
  <c r="M130" i="1"/>
  <c r="M131" i="1"/>
  <c r="N119" i="1"/>
  <c r="N120" i="1"/>
  <c r="N121" i="1"/>
  <c r="N122" i="1"/>
  <c r="N123" i="1"/>
  <c r="N124" i="1"/>
  <c r="N125" i="1"/>
  <c r="N126" i="1"/>
  <c r="N127" i="1"/>
  <c r="N128" i="1"/>
  <c r="N129" i="1"/>
  <c r="N130" i="1"/>
  <c r="N131" i="1"/>
  <c r="G131" i="1"/>
  <c r="G130" i="1"/>
  <c r="G129" i="1"/>
  <c r="G128" i="1"/>
  <c r="G127" i="1"/>
  <c r="G126" i="1"/>
  <c r="G125" i="1"/>
  <c r="G124" i="1"/>
  <c r="G123" i="1"/>
  <c r="G122" i="1"/>
  <c r="G121" i="1"/>
  <c r="G120" i="1"/>
  <c r="G11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 i="2"/>
  <c r="M11" i="2"/>
  <c r="L11" i="2"/>
  <c r="K11" i="2"/>
  <c r="J11" i="2"/>
  <c r="I11" i="2"/>
  <c r="O9" i="2"/>
  <c r="M9" i="2"/>
  <c r="L9" i="2"/>
  <c r="K9" i="2"/>
  <c r="J9" i="2"/>
  <c r="I9" i="2"/>
  <c r="O7" i="2"/>
  <c r="N7" i="2"/>
  <c r="L7" i="2"/>
  <c r="K7" i="2"/>
  <c r="J7" i="2"/>
  <c r="I7" i="2"/>
  <c r="I5" i="2"/>
  <c r="O5" i="2"/>
  <c r="N5" i="2"/>
  <c r="M5" i="2"/>
  <c r="L5" i="2"/>
  <c r="K5" i="2"/>
  <c r="N3" i="2"/>
  <c r="J5" i="2"/>
  <c r="J13" i="2" s="1"/>
  <c r="N20" i="1"/>
  <c r="D8" i="3"/>
  <c r="C8" i="3"/>
  <c r="C22" i="3" s="1"/>
  <c r="E22" i="3" s="1" a="1"/>
  <c r="E22" i="3" s="1"/>
  <c r="B8" i="3"/>
  <c r="C24" i="3" s="1"/>
  <c r="A8" i="3"/>
  <c r="D4" i="3"/>
  <c r="B4" i="3"/>
  <c r="A4" i="3"/>
  <c r="D2" i="3"/>
  <c r="C18" i="3" s="1"/>
  <c r="A34" i="3" s="1"/>
  <c r="C2" i="3"/>
  <c r="D17" i="3" s="1"/>
  <c r="A17" i="3" s="1" a="1"/>
  <c r="A17" i="3" s="1"/>
  <c r="D3" i="2"/>
  <c r="O3" i="2"/>
  <c r="O13" i="2" s="1"/>
  <c r="N3" i="1"/>
  <c r="N4" i="1"/>
  <c r="N5" i="1"/>
  <c r="N6" i="1"/>
  <c r="N7" i="1"/>
  <c r="N8" i="1"/>
  <c r="N9" i="1"/>
  <c r="N10" i="1"/>
  <c r="N11" i="1"/>
  <c r="N12" i="1"/>
  <c r="N13" i="1"/>
  <c r="N14" i="1"/>
  <c r="N15" i="1"/>
  <c r="N16" i="1"/>
  <c r="N17" i="1"/>
  <c r="N18" i="1"/>
  <c r="N19"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N2" i="1"/>
  <c r="E11" i="2"/>
  <c r="F11" i="2"/>
  <c r="D11" i="2"/>
  <c r="C11" i="2"/>
  <c r="B11" i="2"/>
  <c r="A11" i="2"/>
  <c r="G9" i="2"/>
  <c r="F9" i="2"/>
  <c r="E9" i="2"/>
  <c r="D9" i="2"/>
  <c r="C9" i="2"/>
  <c r="B9" i="2"/>
  <c r="A9" i="2"/>
  <c r="G7" i="2"/>
  <c r="F7" i="2"/>
  <c r="E7" i="2"/>
  <c r="D7" i="2"/>
  <c r="C7" i="2"/>
  <c r="B7" i="2"/>
  <c r="A7" i="2"/>
  <c r="G5" i="2"/>
  <c r="F5" i="2"/>
  <c r="E5" i="2"/>
  <c r="D5" i="2"/>
  <c r="C5" i="2"/>
  <c r="B5" i="2"/>
  <c r="A5" i="2"/>
  <c r="G3" i="2"/>
  <c r="F3" i="2"/>
  <c r="E3" i="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K12" i="3" l="1"/>
  <c r="H12" i="3" a="1"/>
  <c r="H12" i="3" s="1"/>
  <c r="G28" i="3" s="1"/>
  <c r="I26" i="3"/>
  <c r="J16" i="3"/>
  <c r="H16" i="3" s="1" a="1"/>
  <c r="H16" i="3" s="1"/>
  <c r="G32" i="3" s="1"/>
  <c r="K13" i="3"/>
  <c r="H13" i="3" a="1"/>
  <c r="H13" i="3" s="1"/>
  <c r="G29" i="3" s="1"/>
  <c r="K22" i="3" a="1"/>
  <c r="K22" i="3" s="1"/>
  <c r="G38" i="3" s="1"/>
  <c r="I13" i="2"/>
  <c r="D13" i="2"/>
  <c r="G13" i="2"/>
  <c r="C13" i="2"/>
  <c r="B13" i="2"/>
  <c r="E13" i="2"/>
  <c r="N13" i="2"/>
  <c r="A13" i="2"/>
  <c r="F13" i="2"/>
  <c r="K13" i="2"/>
  <c r="L13" i="2"/>
  <c r="A33" i="3"/>
  <c r="B13" i="3" a="1"/>
  <c r="B13" i="3" s="1"/>
  <c r="E13" i="3"/>
  <c r="M3" i="2"/>
  <c r="C4" i="3"/>
  <c r="C14" i="3" s="1"/>
  <c r="A30" i="3" s="1"/>
  <c r="A2" i="3"/>
  <c r="B12" i="3" s="1" a="1"/>
  <c r="B12" i="3" s="1"/>
  <c r="E8" i="3"/>
  <c r="F20" i="3" s="1"/>
  <c r="E4" i="3"/>
  <c r="E2" i="3"/>
  <c r="B20" i="3" s="1"/>
  <c r="B2" i="3"/>
  <c r="C26" i="3" s="1"/>
  <c r="K26" i="3" l="1" a="1"/>
  <c r="K26" i="3" s="1"/>
  <c r="K24" i="3" a="1"/>
  <c r="K24" i="3" s="1"/>
  <c r="G40" i="3" s="1"/>
  <c r="M13" i="2"/>
  <c r="P13" i="2" s="1"/>
  <c r="A36" i="3"/>
  <c r="A38" i="3"/>
  <c r="A29" i="3"/>
  <c r="D16" i="3"/>
  <c r="E26" i="3" a="1"/>
  <c r="E26" i="3" s="1"/>
  <c r="A42" i="3" s="1"/>
  <c r="E12" i="3"/>
  <c r="A28" i="3" s="1"/>
  <c r="A44" i="3" l="1"/>
  <c r="G42" i="3"/>
  <c r="B16" i="3" a="1"/>
  <c r="B16" i="3" s="1"/>
  <c r="A32" i="3" s="1"/>
  <c r="E24" i="3" a="1"/>
  <c r="E24" i="3" s="1"/>
  <c r="A4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<sst xmlns="http://schemas.openxmlformats.org/spreadsheetml/2006/main" count="6476" uniqueCount="3756">
  <si>
    <t>Nome da fonte</t>
  </si>
  <si>
    <t>Fundidora</t>
  </si>
  <si>
    <t>Designer</t>
  </si>
  <si>
    <t>Preço Individual</t>
  </si>
  <si>
    <t>Preço Completo</t>
  </si>
  <si>
    <t>Quantidade de Estilos</t>
  </si>
  <si>
    <t>PreçoMin/Font</t>
  </si>
  <si>
    <t>Estreia MyFonts</t>
  </si>
  <si>
    <t>Imagem</t>
  </si>
  <si>
    <t>Link</t>
  </si>
  <si>
    <t>Tags</t>
  </si>
  <si>
    <t>Variable</t>
  </si>
  <si>
    <t>Lançamentos/Foundrys</t>
  </si>
  <si>
    <t>Lançamentos/Dia</t>
  </si>
  <si>
    <t>Lançamentos por Dia</t>
  </si>
  <si>
    <t>Nevaeh Outline</t>
  </si>
  <si>
    <t>Kufic Studio</t>
  </si>
  <si>
    <t>Ahsan Ahmedzai</t>
  </si>
  <si>
    <t>Oct 3, 2025</t>
  </si>
  <si>
    <t>imagens\Nevaeh_Outline.png</t>
  </si>
  <si>
    <t>https://www.myfonts.com/pt/collections/nevaeh-outline-font-kufic-studio</t>
  </si>
  <si>
    <t>Professional Display Font, Creative Logo Fonts, Outline Font, Display Font, Vector Font, Line Font, Bold Font, Regular Font, Stylized Font, New Font, Modern Font</t>
  </si>
  <si>
    <t>Não</t>
  </si>
  <si>
    <t>Nevaeh Scribe</t>
  </si>
  <si>
    <t>imagens\Nevaeh_Scribe.png</t>
  </si>
  <si>
    <t>https://www.myfonts.com/pt/collections/nevaeh-scribe-font-kufic-studio</t>
  </si>
  <si>
    <t>Font Family, Nevaeh Font, Nevaeh Scratch, Nevaeh Vintage, Nevaeh Engrave, Nevaeh Style, Stylish Font, Branding Font, Vector Font, New Font</t>
  </si>
  <si>
    <t>Constane Garden Italic</t>
  </si>
  <si>
    <t>Suza Studio</t>
  </si>
  <si>
    <t>Zikrillah</t>
  </si>
  <si>
    <t>imagens\Constane_Garden_Italic.png</t>
  </si>
  <si>
    <t>https://www.myfonts.com/pt/collections/constane-garden-italic-font-suza-studio</t>
  </si>
  <si>
    <t>Luxury, Calligraphy, Typeface, Serif, Casual, Romantic, Editorial, Poster, Classic, Vintage Serif, Headline Font, Wedding Font, Branding Font, Aesthetic, Logotype, Typography, Novel, Hibryd Font, Packaging, Magazine, Classy, Elegance, Minimalist Font, Sophisticated, Stylish, Glamour, Boutique, Feminine Font, Vogue Font, Lettering Fonts Serif, Lettering</t>
  </si>
  <si>
    <t>Nevaeh Engrave</t>
  </si>
  <si>
    <t>imagens\Nevaeh_Engrave.png</t>
  </si>
  <si>
    <t>https://www.myfonts.com/pt/collections/nevaeh-engrave-font-kufic-studio</t>
  </si>
  <si>
    <t>Fumatthony Bhotagim</t>
  </si>
  <si>
    <t>Ayska</t>
  </si>
  <si>
    <t>Dhoni Trihatmoko</t>
  </si>
  <si>
    <t>imagens\Fumatthony_Bhotagim.png</t>
  </si>
  <si>
    <t>https://www.myfonts.com/pt/collections/fumatthony-bhotagim-font-ayska</t>
  </si>
  <si>
    <t>Modern, Handwriting, Handwritten, Hand Lettered, Hand Drawn, Script, Signature, Logo, Elegant, Stylish, Chic, Swash, Ligatures, Branding, Cursive, Natural, Type, Invitation, Typography, Typeface, Logotype, Text, Casual Script, Website, Instagram, Canva, Social Media Post</t>
  </si>
  <si>
    <t>Tweyday</t>
  </si>
  <si>
    <t>Syafbe</t>
  </si>
  <si>
    <t>Syafwan Mus</t>
  </si>
  <si>
    <t>imagens\Tweyday.png</t>
  </si>
  <si>
    <t>https://www.myfonts.com/pt/collections/tweyday-font-syafbe</t>
  </si>
  <si>
    <t>Script, Classic Scrip, Groovy, Calligraphy, Typography, Classic, Elegant, Fancy, Curvy, Handwriting, Signature Font, Wedding, Hand Lettered Font, Vintage, Retro, Branding, Logo, Lovely, Valentine, Casual Script, Social Media, Stylish Font, Invitation, Luxury, Headline Font, Modern Font, Font, Poster, Modern Calligraphy, Femimin, Calligraphy Brush, Typeface, Stationary, Beautiful Font, Pretty Fonts, Lettering Fonts, Upscale</t>
  </si>
  <si>
    <t>Medish</t>
  </si>
  <si>
    <t>Timelesstype Studio</t>
  </si>
  <si>
    <t>Heru Utama Putra</t>
  </si>
  <si>
    <t>imagens\Medish.png</t>
  </si>
  <si>
    <t>https://www.myfonts.com/pt/collections/medish-font-timelesstype-studio</t>
  </si>
  <si>
    <t>Modern Elegant Sans Serif Font, Luxury Serif, Brand, Logo, Trend, Elegan, Sans, Serif, Display, Web, Branding, Fashion, Promotion</t>
  </si>
  <si>
    <t>Stabels</t>
  </si>
  <si>
    <t>imagens\Stabels.png</t>
  </si>
  <si>
    <t>https://www.myfonts.com/pt/collections/stabels-font-syafbe</t>
  </si>
  <si>
    <t>Typography, Lettering, Typeface, Handwritten, Wedding Font, Script, Branding Font, Modern, Simple, Casual, Valentine, Logo, Feminine, Summer Font, Retro, Tatto, Brush, Stylish Font, Christmas Font, Classy Font, Aesthetic Font, Accent Font, Advertising Font, Cute Font, Cyrillic Script, Decorative Font, Display Font, Font Awesome, Font Ligatures, Grunge Font, Ligature, Signature Font, Poster Font, Realistic</t>
  </si>
  <si>
    <t>Angouriela</t>
  </si>
  <si>
    <t>Jamalodin</t>
  </si>
  <si>
    <t>Jamaluddin</t>
  </si>
  <si>
    <t>imagens\Angouriela.png</t>
  </si>
  <si>
    <t>https://www.myfonts.com/pt/collections/angouriela-font-jamalodin</t>
  </si>
  <si>
    <t>New Font, Script, Lettering, Calligraphy, Typography, Font, Design, Handwritten, Modern, Letter, Illustration, Type, Drawn, Classic, Sign, Fashion, Art, Elegant, Ypeface, Luxury, Wedding, Background, Beauty, Signature, Logo, Collection, Handwriting, Cursive, Logotype</t>
  </si>
  <si>
    <t>The Marlynes</t>
  </si>
  <si>
    <t>Letterhend</t>
  </si>
  <si>
    <t>Hendry Juanda</t>
  </si>
  <si>
    <t>imagens\The_Marlynes.png</t>
  </si>
  <si>
    <t>https://www.myfonts.com/pt/collections/the-marlynes-font-letterhend</t>
  </si>
  <si>
    <t>Serif, Luxury, Elegant, Wedding Font, Magazine Font, Fancy, Classy</t>
  </si>
  <si>
    <t>Raw Halloween</t>
  </si>
  <si>
    <t>Tanon Design</t>
  </si>
  <si>
    <t>Tanonnat Kaeoket</t>
  </si>
  <si>
    <t>imagens\Raw_Halloween.png</t>
  </si>
  <si>
    <t>https://www.myfonts.com/pt/collections/raw-halloween-font-tanon-design</t>
  </si>
  <si>
    <t>Raw Halloween Font, Spooky Rough Font, Wizard Font, Wisdom Font, Spooktacular Font, Spooky Font, Modern Halloween Font, Invitation Card Font, Halloween Invitation Font, Rough Halloween Typography, Grunge Halloween Font, Skull Halloween Font, Stylish Halloween Font, Rough Raw Font, Handdrawn Halloween Font, Doodle Halloween Font, Cute Halloween Font, Texture Halloween Font, Rough Halloween Font</t>
  </si>
  <si>
    <t>Reedural</t>
  </si>
  <si>
    <t>Sidkia Fonts</t>
  </si>
  <si>
    <t>imagens\Reedural.png</t>
  </si>
  <si>
    <t>https://www.myfonts.com/pt/collections/reedural-font-sidkia-fonts</t>
  </si>
  <si>
    <t>Regular, Simple, Handwriting, Handwritten, Handwriting Font, Handwritten Font, Fun, Charming, Cool, Warm, Friendly, Quotes, Quote, Greeting Card, Invitation, Poster, Posters, Note, Notes</t>
  </si>
  <si>
    <t>Childy</t>
  </si>
  <si>
    <t>Artiveko</t>
  </si>
  <si>
    <t>Iwan Alwan</t>
  </si>
  <si>
    <t>imagens\Childy.png</t>
  </si>
  <si>
    <t>https://www.myfonts.com/pt/collections/childy-font-artiveko</t>
  </si>
  <si>
    <t>Font, Logo, Icon, Type, Text, Typeface, Typography, Sans, Serif, Serif Font, Minimalist, Simple, Elegant, Clean, Business, Title, Poster, Otf, Ttf, Woff, Woff2, Trend, Unique, Brand, Identity</t>
  </si>
  <si>
    <t>Saitingan</t>
  </si>
  <si>
    <t>Basnistudio</t>
  </si>
  <si>
    <t>Bery Arisandi</t>
  </si>
  <si>
    <t>imagens\Saitingan.png</t>
  </si>
  <si>
    <t>https://www.myfonts.com/pt/collections/saitingan-font-basnistudio</t>
  </si>
  <si>
    <t>Handwritten, Signature, Wedding, Romance, Product, Natural, Modern</t>
  </si>
  <si>
    <t>Nowdart Bleed</t>
  </si>
  <si>
    <t>Denustudio</t>
  </si>
  <si>
    <t>Dede Nugraha</t>
  </si>
  <si>
    <t>imagens\Nowdart_Bleed.png</t>
  </si>
  <si>
    <t>https://www.myfonts.com/pt/collections/nowdart-bleed-font-denustudio</t>
  </si>
  <si>
    <t>Blackletter, Victorian, Vintage, Tattoo, Gothic, Medieval, Music, Black Metal, Death Metal, 90s, Old English, Ornate, Ornamental, Underground, Edgy, Whiskey, Beer, Merchandise, Metal, Calligraphy, Swash, Ligature, Typography</t>
  </si>
  <si>
    <t>Thelly Black</t>
  </si>
  <si>
    <t>Alit Design</t>
  </si>
  <si>
    <t>Alit Suarnegara</t>
  </si>
  <si>
    <t>imagens\Thelly_Black.png</t>
  </si>
  <si>
    <t>https://www.myfonts.com/pt/collections/thelly-black-font-alit-design</t>
  </si>
  <si>
    <t>Blackletter, Script, Tattoo</t>
  </si>
  <si>
    <t>Evalluasy</t>
  </si>
  <si>
    <t>imagens\Evalluasy.png</t>
  </si>
  <si>
    <t>https://www.myfonts.com/pt/collections/evalluasy-font-syafbe</t>
  </si>
  <si>
    <t>Death Curse</t>
  </si>
  <si>
    <t>Agny Hasya Studio</t>
  </si>
  <si>
    <t>Firman Maulana</t>
  </si>
  <si>
    <t>imagens\Death_Curse.png</t>
  </si>
  <si>
    <t>https://www.myfonts.com/pt/collections/death-curse-font-agny-hasya-studio</t>
  </si>
  <si>
    <t>Horror, Spooky, Scary, Halloween, Curse, Creepy, Roots, Witch, Graveyard, Terror, Midnight, Death, Thriller, Layered, Poster, Movie, Banner, Ghost, Monster, Nightmare, Evil, Horror Font, Nightmare Font, Halloween Font, Spooky Font, Thriller Font, Card, Design, T-shirt, Apparel, Advertising, Font, Display, Gothic, Outline, Extrude, Multilingual, Layered Font</t>
  </si>
  <si>
    <t>Zenphoria</t>
  </si>
  <si>
    <t>Dream Font</t>
  </si>
  <si>
    <t>Karen Ackoff</t>
  </si>
  <si>
    <t>imagens\Zenphoria.png</t>
  </si>
  <si>
    <t>https://www.myfonts.com/pt/collections/zenphoria-font-dream-font</t>
  </si>
  <si>
    <t>Zenphoria, Zenphoria Font, Zenphoria Sans Serif, Zenphoria Sans, Zenphoria Family, Sans Serif Family, Sans Serif Family Font, Sans, Sans Serif, Sans Serif Font, Sans Serif Typeface, Serif Typeafce, Serif Typeface, Modern Display, Modern Display Serif, Serif Display, Condensed, Condensed Serif, Condensed Typeface, Modern Sans Serif, Sans Serif Display, Display Sans Serif, Branding, Buisness, Newpaper, Magazine, Cover, Quotes, Logos, Black Font, Black Serif, Minimalist, Minimalist Font, Grotesk, Grotesk Font, Elegant, Logotype, Typography, Versatile, Font Family, Sans Serif Font Family, Perfect, Bold, Extrabold</t>
  </si>
  <si>
    <t>Astonia Eleganty</t>
  </si>
  <si>
    <t>Shape Studio</t>
  </si>
  <si>
    <t>Teuku Saifullah</t>
  </si>
  <si>
    <t>imagens\Astonia_Eleganty.png</t>
  </si>
  <si>
    <t>https://www.myfonts.com/pt/collections/astonia-eleganty-font-shape-studio</t>
  </si>
  <si>
    <t>SERIF, ELEGANT, MODERN SERIF FONT, ELEGANT SERIF, LUXURY FONT, STYLISH SERIF, FASHION FONT, EDITORIAL FONT</t>
  </si>
  <si>
    <t>Milnarate</t>
  </si>
  <si>
    <t>madeDeduk</t>
  </si>
  <si>
    <t>madededuk</t>
  </si>
  <si>
    <t>imagens\Milnarate.png</t>
  </si>
  <si>
    <t>https://www.myfonts.com/pt/collections/milnarate-font-made-deduk</t>
  </si>
  <si>
    <t>Brush, Script, Monoline, Minimalist, Clean, Simple, Retro, Vintage, Classic, Handwritten, Logotype, Wedding, Invitation, Content, Social Media, Stylish, Classy, Elegant, Branding, Fashion, Packaging, Restaurant, Book Cover, Web, Swash, Curly, Valentine, Christmas, Birthday, Celebrate, Nostalgic, Romance, Love</t>
  </si>
  <si>
    <t>Road Sixty Four</t>
  </si>
  <si>
    <t>Epiclinez</t>
  </si>
  <si>
    <t>Aldy Sidik</t>
  </si>
  <si>
    <t>imagens\Road_Sixty_Four.png</t>
  </si>
  <si>
    <t>https://www.myfonts.com/pt/collections/road-sixty-four-font-epiclinez</t>
  </si>
  <si>
    <t>Bold Textured Font, Grunge Display Typeface, Racing Font, Gaming Font, Movie Poster Font, Bold Headline Font, Streetwear Font</t>
  </si>
  <si>
    <t>Rustic Cuntry</t>
  </si>
  <si>
    <t>imagens\Rustic_Cuntry.png</t>
  </si>
  <si>
    <t>https://www.myfonts.com/pt/collections/rustic-cuntry-font-timelesstype-studio</t>
  </si>
  <si>
    <t>Modern Vintage Serif Font, Luxury Serif, Logo, Brand, Website, Display, Serif, Branding, Trend, Web, Promotion</t>
  </si>
  <si>
    <t>Handmode Editorial</t>
  </si>
  <si>
    <t>Letterfreshstudio</t>
  </si>
  <si>
    <t>Rizki Andika</t>
  </si>
  <si>
    <t>imagens\Handmode_Editorial.png</t>
  </si>
  <si>
    <t>https://www.myfonts.com/pt/collections/handmode-editorial-font-letterfreshstudio</t>
  </si>
  <si>
    <t>Font, Font Duo, Script, Sans, Sans Serif, Branding, Vintage, Elegant, Web, Casual, Visual, Handmade, Smooth, Best, New, Wedding, Magaziness, Quotes, Typeface, Bold, Design</t>
  </si>
  <si>
    <t>Blocerra</t>
  </si>
  <si>
    <t>Kamran Familbayli</t>
  </si>
  <si>
    <t>imagens\Blocerra.png</t>
  </si>
  <si>
    <t>https://www.myfonts.com/pt/collections/blocerra-font-dream-font</t>
  </si>
  <si>
    <t>Blocerra, Blocerra Fonts, Blocerra Sans, Sans Serif, Sans, Sans Serif Typeface, Serif Typeface, Perfectly, Perfect, Perfect Font, Headline, Outline, Bold Serif, Bold Sans Serif, Black Sans Serif, Elegant, Versatile, Variable, Variable Font, Condensed, Condensed Font, Modern Sans Serif, Modern Typeface, Display Typeface, Creative Fonts, Buisness, Branding, Clothing, Magazine, Posters, Covers, Bold Font, Bold Sans Serif Typeface, Condensed Script, Sans-serif Display, Projects, Classic</t>
  </si>
  <si>
    <t>Sim</t>
  </si>
  <si>
    <t>Zenqium</t>
  </si>
  <si>
    <t>Galit Zadok</t>
  </si>
  <si>
    <t>imagens\Zenqium.png</t>
  </si>
  <si>
    <t>https://www.myfonts.com/pt/collections/zenqium-font-dream-font</t>
  </si>
  <si>
    <t>Zenqium, Zenqium Sans Serif, Zenqium Font, Zenqium Typeface, Zenqium Serif, Zenqium Sans, Zenqium Script, Zenqium Font Family, Modern Sans, Modern Sans Serif, Modern Sans Serif Typeface, Modern Display Font, Modern Display Typeface, Bold Font, Bold Font Family, Bold Font Typeface, Bold Fonts, Condensed, Condensed Font, Black Font, Black Font Typeface, Buisness, Branding, Quotes, Logos, Newspaper, Magazines, Covrs, Covers, Headline, Posters, Minimalist, Multilingual, Pwefect, Vintage, Elegant, Versatile, Creative, Unique, Clean, Expanded, Logotype, Brand</t>
  </si>
  <si>
    <t>Sibone</t>
  </si>
  <si>
    <t>Sue Zafarana</t>
  </si>
  <si>
    <t>imagens\Sibone.png</t>
  </si>
  <si>
    <t>https://www.myfonts.com/pt/collections/sibone-font-dream-font</t>
  </si>
  <si>
    <t>Sibone, Sibone Fonts, Sibone Typeface, Sibone Sans Serif, Contemporary, Contemporary Sans, Contemporary Sans-serif, Sans-serif Typeface, Sans-serif, Sans, Serif, Bold Typeface, Extrabold, Extrabold Typeface, Versatile, Versatile Font, Perfect, Bold Fonts, Branding, Buisness, Clothing, Quotes, Logos, Modern Font, Modern Typeface, Grotesk, Grotesk Fonts, Modern Sans Serif, Display Sans Serif, Headline Font, Tech Font, Future Font, Condensed, Condensed Font</t>
  </si>
  <si>
    <t>ZP Nerve Fright</t>
  </si>
  <si>
    <t>Illustration Ink</t>
  </si>
  <si>
    <t>imagens\ZP_Nerve_Fright.png</t>
  </si>
  <si>
    <t>https://www.myfonts.com/pt/collections/zp-nerve-fright-font-lettering-delights</t>
  </si>
  <si>
    <t>Handcrafted, Crafty, Hand-crafted, Handwritten, Hand-written, Handmade, Hand-made, Scray, Halloween, Creepy, Zombie, Blood, Bleed, Murder</t>
  </si>
  <si>
    <t>Down</t>
  </si>
  <si>
    <t>LuxTypo</t>
  </si>
  <si>
    <t>Greg Lindy</t>
  </si>
  <si>
    <t>imagens\Down.png</t>
  </si>
  <si>
    <t>https://www.myfonts.com/pt/collections/down-font-luxtypo</t>
  </si>
  <si>
    <t>Sans Serif, Futura, Geometric Sans, Geo-grotesk, Rounded, Utility, Industrial, Ultra Heavy, Ultra Heavy Sans, Fat Sans, Not Futura, Swiss, Mid Century Modern, Modern, Weathered, Beer, Heading, Casual, Legible, Logo, Magazine, Healine, Packagin, Clean, Logotype, Playful, Retro, Poster, Elegant, Handcrafted, Vintage, Commercial, Transport, Design, Bakery</t>
  </si>
  <si>
    <t>Telcian</t>
  </si>
  <si>
    <t>imagens\Telcian.png</t>
  </si>
  <si>
    <t>https://www.myfonts.com/pt/collections/telcian-font-dream-font</t>
  </si>
  <si>
    <t>Telcian, Telcianfont, Telcian Sans Serif, Sans Serif, Sans Serif Font, Sans Serif Font Fsmily, Sans Seerif Font Family, San Serif Font Family, Font Family, Sans Serif Family, Unique, Creative, Ultimate, Bold Font, Bold Font Family, Buisness, Branding, Clothing, Ligatures, Condensed, Condensed Font, Condensed Serif, Black Font, Black, Black Serif, Headline, Geometric, Newspaper, Magazine, Modern Display, Sans Serif Display, Display Tyoeface, Grotesk, Logo, Quotes, Display Font</t>
  </si>
  <si>
    <t>Moleda</t>
  </si>
  <si>
    <t>Haniefart</t>
  </si>
  <si>
    <t>Hanif Maulazi</t>
  </si>
  <si>
    <t>imagens\Moleda.png</t>
  </si>
  <si>
    <t>https://www.myfonts.com/pt/collections/moleda-font-haniefart</t>
  </si>
  <si>
    <t>Sans Serif Font, Impact Font, Elegant Font, Unique Font, Branding Font, Business Font, Poster Font, Modern Font, Invitation Font, Movie Font, Magazine Font, Comic Font, Book Cover, Name Card, Brochure, Flyer Font, Title Movie, Apparel, T-shirt, Popular Font, Label Tag, Sports, Typography, Invitation Cards, Magazine Cover, Billboard, Banners Font, Banners, Comic Cover, Flyer</t>
  </si>
  <si>
    <t>Fox Cynthia</t>
  </si>
  <si>
    <t>Fox7</t>
  </si>
  <si>
    <t>Rattana Rattanawan</t>
  </si>
  <si>
    <t>imagens\Fox_Cynthia.png</t>
  </si>
  <si>
    <t>https://www.myfonts.com/pt/collections/fox-cynthia-font-fox7</t>
  </si>
  <si>
    <t>Retro Font, Vintage Font, Funky Font, Groovy Font, 70s Font, Playful Font, Colorful Font, Bubble Font, Display Font, Decorative Font, Fun Font, Bold Font, Cartoon Font, Pop Art Font, Retro Style Font, Funky Display Font, Funky Retro, Funky Vintage, Funky Typography, Bold Display Font, Layered Font, Shadow Font, Outline Font, Stroke Font, Retro Headline Font, Funky Poster Font, Retro Logo Font, Vintage Display Font, Retro Kids Font, Canva Font, Groovy Display Font, Funky Playful Font, Vintage Lettering, Retro Typeface, Funky Typeface, Bold Retro Font, Funky Graphic Font, Vintage Bubble Font, Retro Fun Font, Cute Retro Font, Funky Title Font, Creative Retro Font, Retro Advertising Font, Colorful Retro Font, Funky Bold Type, Quirky Retro Font, Chunky Retro Font, Bold Vintage Font, Funky Outline Font, Retro Cartoon Font</t>
  </si>
  <si>
    <t>Fallentia</t>
  </si>
  <si>
    <t>Fargun Studio</t>
  </si>
  <si>
    <t>Fajar Gunawan</t>
  </si>
  <si>
    <t>imagens\Fallentia.png</t>
  </si>
  <si>
    <t>https://www.myfonts.com/pt/collections/fallentia-font-fargun-studio</t>
  </si>
  <si>
    <t>Retro Script, Groovy, Vintage Style, Logotype, Modern Script, Nineties, Eighties, Bold Script, Logo Font, Branding, Poster, Banner, Nostalgic, 90s, 80s, 70s, Cover, Headline, Designer, Useful, Brush, Handwritten</t>
  </si>
  <si>
    <t>Tropi Twist</t>
  </si>
  <si>
    <t>Maghrib Type</t>
  </si>
  <si>
    <t>Rizky Setyaludin</t>
  </si>
  <si>
    <t>imagens\Tropi_Twist.png</t>
  </si>
  <si>
    <t>https://www.myfonts.com/pt/collections/tropi-twist-font-maghrib-type</t>
  </si>
  <si>
    <t>Handdrawn, Playful, Quirky, Funky, Groovy, Retro, Vintage, Bold, Sans Serif, Summer, Illustration, Poster, Casual, Organic, Whimsical, Cheerful, Expressive, Tropical, Beach, Vacation, Party, Festival, Display, Logo, Branding, Packaging, Flyer, Headline, Retro Lettering, Funky Typography, Unique Typeface, Popular</t>
  </si>
  <si>
    <t>Ambiday</t>
  </si>
  <si>
    <t>Scoothtype</t>
  </si>
  <si>
    <t>Muammar</t>
  </si>
  <si>
    <t>imagens\Ambiday.png</t>
  </si>
  <si>
    <t>https://www.myfonts.com/pt/collections/ambiday-font-scoothtype</t>
  </si>
  <si>
    <t>New Clean, New Black, Handâ Drawn, Title, New Handwritten, New Brush, New Cristmas, Cristianism, Heavy, for Brand, New Brand, Legible, Dog, Lady, New Girl, New Easter, Event, Multilingual, Typography, Handlettering, Handwritting, Stylish, Vintage, Bold, Alternates, Casual, New Script, Retro</t>
  </si>
  <si>
    <t>Gronk</t>
  </si>
  <si>
    <t>Slidehack</t>
  </si>
  <si>
    <t>Panca Ahmadi Hasan</t>
  </si>
  <si>
    <t>imagens\Gronk.png</t>
  </si>
  <si>
    <t>https://www.myfonts.com/pt/collections/gronk-font-slidehack</t>
  </si>
  <si>
    <t>Font, Retro, Chunky, Bold, Display, Vintage, Typography, Logo, Poster, Headline, Creative, Playful, Modern, Branding</t>
  </si>
  <si>
    <t>Saestu</t>
  </si>
  <si>
    <t>RNDI Type Foundry</t>
  </si>
  <si>
    <t>Randi Ilhamsyah</t>
  </si>
  <si>
    <t>imagens\Saestu.png</t>
  </si>
  <si>
    <t>https://www.myfonts.com/pt/collections/saestu-font-rndi-type-foundry</t>
  </si>
  <si>
    <t>Display Font, Bold Font, Chunky Font, Playful Font, Fat Font, Retro Modern, Fun Font, Geometric Font, Asymmetrical Font, Headline Font, Logo Font, Unique Font, Eye-catching</t>
  </si>
  <si>
    <t>Comida deliciosa</t>
  </si>
  <si>
    <t>Nirmana Visual</t>
  </si>
  <si>
    <t>Sigit Dwipa</t>
  </si>
  <si>
    <t>imagens\Comida_deliciosa.png</t>
  </si>
  <si>
    <t>https://www.myfonts.com/pt/collections/food-delicious-font-nirmana-visual</t>
  </si>
  <si>
    <t>Food Font, Food Menu, Playful, Cafe, Restaurant, Coffeeshop, Fontduo, Food Promotions, Sans, Bold, Handwritten, Extrude, Menus, Packaging, Warm, Authenticity, Flavor</t>
  </si>
  <si>
    <t>Monoline Sans JNL</t>
  </si>
  <si>
    <t>Jeff Levine</t>
  </si>
  <si>
    <t>Oct 1, 2025</t>
  </si>
  <si>
    <t>imagens\Monoline_Sans_JNL.png</t>
  </si>
  <si>
    <t>https://www.myfonts.com/pt/collections/monoline-sans-jnl-font-jeff-levine</t>
  </si>
  <si>
    <t>Decoreative, Display, Headline, Retro, Vintage, Nostalgic, Thin, Monoline, Wide, Hand Lettered, 1900s</t>
  </si>
  <si>
    <t>Studio Lot JNL</t>
  </si>
  <si>
    <t>imagens\Studio_Lot_JNL.png</t>
  </si>
  <si>
    <t>https://www.myfonts.com/pt/collections/studio-lot-jnl-font-jeff-levine</t>
  </si>
  <si>
    <t>Ddecorative, Display, Headline, Retro, Nostalgic, Vintage, 1930s, Signage, Art Deco, Sans Serif, Art Nouveau</t>
  </si>
  <si>
    <t>Szechuan Chicken JNL</t>
  </si>
  <si>
    <t>imagens\Szechuan_Chicken_JNL.png</t>
  </si>
  <si>
    <t>https://www.myfonts.com/pt/collections/szechuan-chicken-jnl-font-jeff-levine</t>
  </si>
  <si>
    <t>Decorative, Display, Headline, Retro, Vintage, Nostalgic, Hand Lettered, Asian, Chinese, Japanese, 1920s</t>
  </si>
  <si>
    <t>Mideastern Nouveau JNL</t>
  </si>
  <si>
    <t>imagens\Mideastern_Nouveau_JNL.png</t>
  </si>
  <si>
    <t>https://www.myfonts.com/pt/collections/mideastern-nouveau-jnl-font-jeff-levine</t>
  </si>
  <si>
    <t>Display, Headline, Retro, Vintage, Nostalgic, Decorative, Hand Lettered, Art Nouveau, 1920s, Mideastern</t>
  </si>
  <si>
    <t>Eclectic Sans JNL</t>
  </si>
  <si>
    <t>imagens\Eclectic_Sans_JNL.png</t>
  </si>
  <si>
    <t>https://www.myfonts.com/pt/collections/eclectic-sans-jnl-font-jeff-levine</t>
  </si>
  <si>
    <t>Display, Headline, Vintage, Nostalgic, Decorative, 1950s, Art Deco, Experimental, Retro, Modernistic, Sans Serif, Hand Lettered, Novelty</t>
  </si>
  <si>
    <t>Classic Tales JNL</t>
  </si>
  <si>
    <t>imagens\Classic_Tales_JNL.png</t>
  </si>
  <si>
    <t>https://www.myfonts.com/pt/collections/classic-tales-jnl-font-jeff-levine</t>
  </si>
  <si>
    <t>Decorative, Display, Headline, Sans Serif, Calligraphic, 1950s, Hand Lettering, Retro, Vintage, Nostalgic</t>
  </si>
  <si>
    <t>Nouveau Delight JNL</t>
  </si>
  <si>
    <t>imagens\Nouveau_Delight_JNL.png</t>
  </si>
  <si>
    <t>https://www.myfonts.com/pt/collections/nouveau-delight-jnl-font-jeff-levine</t>
  </si>
  <si>
    <t>Decorative, Display, Headline, Retro, Vintage, Nostalgic, Hand Lettered, Art Nouveau, 1920s, Serif</t>
  </si>
  <si>
    <t>Chamfer Sans JNL</t>
  </si>
  <si>
    <t>imagens\Chamfer_Sans_JNL.png</t>
  </si>
  <si>
    <t>https://www.myfonts.com/pt/collections/chamfer-sans-jnl-font-jeff-levine</t>
  </si>
  <si>
    <t>Decorative, Display, Headline, 1920s, Hand Lettered, Sign Painting, Retro, Vintage, Nostalgic</t>
  </si>
  <si>
    <t>Danse Nouveau JNL</t>
  </si>
  <si>
    <t>imagens\Danse_Nouveau_JNL.png</t>
  </si>
  <si>
    <t>https://www.myfonts.com/pt/collections/danse-nouveau-jnl-font-jeff-levine</t>
  </si>
  <si>
    <t>Decorative, Display, Headline, Retro, Vintage, Nostalgic, Art Nouveau, Sans Serif, 1900s, Hand Lettered</t>
  </si>
  <si>
    <t>French Display Sans JNL</t>
  </si>
  <si>
    <t>imagens\French_Display_Sans_JNL.png</t>
  </si>
  <si>
    <t>https://www.myfonts.com/pt/collections/french-display-sans-jnl-font-jeff-levine</t>
  </si>
  <si>
    <t>Decorative, Display, Headline, Art Deco, Hand Lettered, 1930s, Retro, Vintage, Nostalgic, Thick and Thin</t>
  </si>
  <si>
    <t>Dattacle Variable</t>
  </si>
  <si>
    <t>Mans Greback</t>
  </si>
  <si>
    <t>Måns Grebäck</t>
  </si>
  <si>
    <t>Oct 8, 2025</t>
  </si>
  <si>
    <t>imagens\Dattacle_Variable.png</t>
  </si>
  <si>
    <t>https://www.myfonts.com/pt/collections/dattacle-variable-font-mans-greback</t>
  </si>
  <si>
    <t>Tattoo, Halloween, Variable Font, Variable, Script, Handwriting, Calligraphy, Rock, Knives, Sharp, Thorns</t>
  </si>
  <si>
    <t>Supernus</t>
  </si>
  <si>
    <t>Artisticandunique</t>
  </si>
  <si>
    <t>Osman Taner Kucukgenc</t>
  </si>
  <si>
    <t>imagens\Supernus.png</t>
  </si>
  <si>
    <t>https://www.myfonts.com/pt/collections/supernus-font-artisticandunique</t>
  </si>
  <si>
    <t>Newspaper Design, Desktop Font, Sans Serif Display, Web Design, Web Development, Web Developer, Multilingual Supports, Multilingual, Multilingual Font, Designer Font, Editorial, Editorial Font, Headline Font, Magazine Font, Creative, Branding, Modern Fon, Modern Sans, Alternate Characters</t>
  </si>
  <si>
    <t>Oberland</t>
  </si>
  <si>
    <t>MMMA Creative</t>
  </si>
  <si>
    <t>Siti Saribanon Nurjannah</t>
  </si>
  <si>
    <t>Oct 7, 2025</t>
  </si>
  <si>
    <t>imagens\Oberland.png</t>
  </si>
  <si>
    <t>https://www.myfonts.com/pt/collections/oberland-font-mmma-creative</t>
  </si>
  <si>
    <t>Raw, Handmade, Imperfect, Authentic, Organic, Expressive, Unique, Rhythm, Bold, Chic, Funky, Artistic, Natural, Modern</t>
  </si>
  <si>
    <t>Sinthesa Boutney</t>
  </si>
  <si>
    <t>MJB Letters</t>
  </si>
  <si>
    <t>Muhammad Mujibulloh</t>
  </si>
  <si>
    <t>imagens\Sinthesa_Boutney.png</t>
  </si>
  <si>
    <t>https://www.myfonts.com/pt/collections/sinthesa-boutney-font-mjb-letters</t>
  </si>
  <si>
    <t>Luxury Handwritten Font, Elegant Calligraphy Font, Modern Script Font, Wedding Invitation Font, Branding Font, Fashion Logo Font, Signature Font, Classy Handwritten Script, Feminine Calligraphy, Cursive Font, Packaging Font, Stylish Handwritten Typeface, Modern Wedding Script, Premium Calligraphy Font</t>
  </si>
  <si>
    <t>South Peach</t>
  </si>
  <si>
    <t>imagens\South_Peach.png</t>
  </si>
  <si>
    <t>https://www.myfonts.com/pt/collections/south-peach-font-mjb-letters</t>
  </si>
  <si>
    <t>Modern Handwritten Script, Handwritten Font, Cursive Script Font, Casual Handwritten Typeface, Wedding Invitation Font, Logo Script Font, Branding Handwritten Font, Minimalist Script Font, Stylish Handwritten Font, Natural Handwriting Font, Feminine Handwritten Script, Calligraphy Style Font, Social Media Font, Elegant Script Font, Modern Calligraphy Typeface</t>
  </si>
  <si>
    <t>Calivorne</t>
  </si>
  <si>
    <t>Muksal Creatives</t>
  </si>
  <si>
    <t>Muksalmina</t>
  </si>
  <si>
    <t>imagens\Calivorne.png</t>
  </si>
  <si>
    <t>https://www.myfonts.com/pt/collections/calivorne-font-muksal-creatives</t>
  </si>
  <si>
    <t>Serif, Modern Serif, Luxury, Editorial, Display, Fashion, Branding, Magazine, Logo</t>
  </si>
  <si>
    <t>Whimsical Postcards</t>
  </si>
  <si>
    <t>imagens\Whimsical_Postcards.png</t>
  </si>
  <si>
    <t>https://www.myfonts.com/pt/collections/whimsical-postcards-font-tanon-design</t>
  </si>
  <si>
    <t>Whimsical Font, Handwriting Font, Handdrawn Font, Handwritten Font, Invitation Card Font, Invitation Party Font, Modern Font, Casual Font, Whimsical Handwriting Font, Whimsical Handwritten Font, Modern Whimsical Font, Postcard Font, Letter Font, Wedding Font, Party Font, Cute Postcard Font</t>
  </si>
  <si>
    <t>Attha Loopless</t>
  </si>
  <si>
    <t>Jipatype</t>
  </si>
  <si>
    <t>Anupap Jaichumnan</t>
  </si>
  <si>
    <t>imagens\Attha_Loopless.png</t>
  </si>
  <si>
    <t>https://www.myfonts.com/pt/collections/attha-loopless-font-jipatype</t>
  </si>
  <si>
    <t>Headlines, Loopless, Thai, Minimalist, Branding, Geometric, Capsuled</t>
  </si>
  <si>
    <t>Intrinseca Nova</t>
  </si>
  <si>
    <t>AVP</t>
  </si>
  <si>
    <t>Nicholas Garner</t>
  </si>
  <si>
    <t>imagens\Intrinseca_Nova.png</t>
  </si>
  <si>
    <t>https://www.myfonts.com/pt/collections/intrinseca-nova-font-avp</t>
  </si>
  <si>
    <t>Glyphic, Semiserif, Crisp, Sharp, Classic, Classical, Corporate, Incised, Semi-Serif, Inscribed, Book, Legible, Booktext</t>
  </si>
  <si>
    <t>Neutiva</t>
  </si>
  <si>
    <t>Yukita Creative</t>
  </si>
  <si>
    <t>abdul artega</t>
  </si>
  <si>
    <t>imagens\Neutiva.png</t>
  </si>
  <si>
    <t>https://www.myfonts.com/pt/collections/neutiva-font-yukita-creative</t>
  </si>
  <si>
    <t>Corporate Logo, Company Logo, Neo Grotesk, Modern Font, Branding Font, Clean Font, Modern Sans Serif, Sans Serif Font, Corporate Font, Modern Sans Font, Bold Font, Light Font, Thin Font, Medium Font, Family Font, Black Font, Italic Font, Logo Design, Minimal Font, Black White</t>
  </si>
  <si>
    <t>Golden Goose</t>
  </si>
  <si>
    <t>Unio Creative Solutions</t>
  </si>
  <si>
    <t>Nicola Manzari</t>
  </si>
  <si>
    <t>imagens\Golden_Goose.png</t>
  </si>
  <si>
    <t>https://www.myfonts.com/pt/collections/golden-goose-font-unio-creative-solutions</t>
  </si>
  <si>
    <t>Hybridserif, Italicinfused, Variablefont, Serifdisplay, Editorialtype, Opentypefeatures, Typedesign, Craftedserif, ModernSerif, ElegantFonts, BrandingTypography, VersatileTypeface</t>
  </si>
  <si>
    <t>Hope Wins</t>
  </si>
  <si>
    <t>Seemly Fonts</t>
  </si>
  <si>
    <t>Md Shohail Bhuian</t>
  </si>
  <si>
    <t>imagens\Hope_Wins.png</t>
  </si>
  <si>
    <t>https://www.myfonts.com/pt/collections/hope-wins-font-seemly-fonts</t>
  </si>
  <si>
    <t>Handwritten, Handwritten Font, Script Font, Display Font, Regular Font, Typeface, Modern Font, New Font, Banner Font, Logo Font</t>
  </si>
  <si>
    <t>Mahoni</t>
  </si>
  <si>
    <t>Mirachma</t>
  </si>
  <si>
    <t>Mira Rachma</t>
  </si>
  <si>
    <t>imagens\Mahoni.png</t>
  </si>
  <si>
    <t>https://www.myfonts.com/pt/collections/mahoni-font-mirachma</t>
  </si>
  <si>
    <t>Mahoni, Mahogany, Mahoni Font, Mahogany Font, Display Font, Handwriting Font</t>
  </si>
  <si>
    <t>Thanks Beauty Italic</t>
  </si>
  <si>
    <t>Yoga Letter</t>
  </si>
  <si>
    <t>Isroni Yoga Prasetya</t>
  </si>
  <si>
    <t>imagens\Thanks_Beauty_Italic.png</t>
  </si>
  <si>
    <t>https://www.myfonts.com/pt/collections/thanks-beauty-italic-font-yoga-letter</t>
  </si>
  <si>
    <t>Handwritten, Christmas, Fall, Autumn, Winter, Valentine, Beautiful Font, Italic Font, Halloween, Invitations, Wedding, Engagement</t>
  </si>
  <si>
    <t>Gastonia Script</t>
  </si>
  <si>
    <t>madjack.font</t>
  </si>
  <si>
    <t>Zaki Muhammad</t>
  </si>
  <si>
    <t>imagens\Gastonia_Script.png</t>
  </si>
  <si>
    <t>https://www.myfonts.com/pt/collections/gastonia-script-font-madjack-font</t>
  </si>
  <si>
    <t>Modern, Modern Fonts Script, Calligraphy, Calligraphy Fonts Script, Wedding, Wedding Invitation, Poster, Poster Mockup, Logo Design, Logo, Handwritten Font, Cursive, Script, Love Font</t>
  </si>
  <si>
    <t>Say Lovely Full Caps</t>
  </si>
  <si>
    <t>Subectype</t>
  </si>
  <si>
    <t>Rangga Subekti</t>
  </si>
  <si>
    <t>imagens\Say_Lovely_Full_Caps.png</t>
  </si>
  <si>
    <t>https://www.myfonts.com/pt/collections/say-lovely-full-caps-font-subectype</t>
  </si>
  <si>
    <t>Bold Script, Handwritten Font, Script Font, Bold Handwritten, Marker Font, Signature Font</t>
  </si>
  <si>
    <t>Chetta Money</t>
  </si>
  <si>
    <t>imagens\Chetta_Money.png</t>
  </si>
  <si>
    <t>https://www.myfonts.com/pt/collections/chetta-money-font-alit-design</t>
  </si>
  <si>
    <t>Script</t>
  </si>
  <si>
    <t>Megatter Breathin</t>
  </si>
  <si>
    <t>Letterena Studios</t>
  </si>
  <si>
    <t>imagens\Megatter_Breathin.png</t>
  </si>
  <si>
    <t>https://www.myfonts.com/pt/collections/megatter-breathin-font-letterena-studios</t>
  </si>
  <si>
    <t>Luxury Script, Brand, Logo, Fashion, Wedding, Trend, Modern Bruh Font, Branding, Website, Script, Promotion</t>
  </si>
  <si>
    <t>Halloween Creative Italic</t>
  </si>
  <si>
    <t>Selvia Design</t>
  </si>
  <si>
    <t>Selvia Cahya</t>
  </si>
  <si>
    <t>imagens\Halloween_Creative_Italic.png</t>
  </si>
  <si>
    <t>https://www.myfonts.com/pt/collections/halloween-creative-italic-font-selvia-design</t>
  </si>
  <si>
    <t>halloween, halloween font, halloween bundle, october, pumpkin, spooky, swashes, scary, celebration, font, craft, mug, tshirt, tshirts, tshirt design, mock up font, mock up</t>
  </si>
  <si>
    <t>Ridjames</t>
  </si>
  <si>
    <t>Tini Fitriani</t>
  </si>
  <si>
    <t>imagens\Ridjames.png</t>
  </si>
  <si>
    <t>https://www.myfonts.com/pt/collections/ridjames-font-tini-fitriani</t>
  </si>
  <si>
    <t>Sans Serif, Retro, Vintage, Typography, Display, Nostalgic, Vintage Sans Serif, Logotype, Headline, Rounded, Magazine, Modern, Classy, Typeface, Modern Font, Design, Fashion, Cover, Poster, Casual</t>
  </si>
  <si>
    <t>GC Neue Benfica</t>
  </si>
  <si>
    <t>Onyx Studio</t>
  </si>
  <si>
    <t>Muhammad Hafiizh Solana</t>
  </si>
  <si>
    <t>imagens\GC_Neue_Benfica.png</t>
  </si>
  <si>
    <t>https://www.myfonts.com/pt/collections/gc-neue-benfica-font-onyx-studio</t>
  </si>
  <si>
    <t>Magazine, Font, Typeface, Canva, Tropical, Decorative, Display, Elegant, Ligature, Alternates, Clean, Feminine, Soft, Green, Serif Typeface, Trend, Cover, Funky, Old Fashion, Old School</t>
  </si>
  <si>
    <t>Nostalgic Pictures</t>
  </si>
  <si>
    <t>imagens\Nostalgic_Pictures.png</t>
  </si>
  <si>
    <t>https://www.myfonts.com/pt/collections/nostalgic-pictures-font-letterena-studios</t>
  </si>
  <si>
    <t>Casual Calligraphy Font, Font, Luxury Script, Brand, Logo, Fashion, Web, Promotion</t>
  </si>
  <si>
    <t>Klaten Yuforia</t>
  </si>
  <si>
    <t>imagens\Klaten_Yuforia.png</t>
  </si>
  <si>
    <t>https://www.myfonts.com/pt/collections/klaten-yuforia-font-timelesstype-studio</t>
  </si>
  <si>
    <t>Modern Bold Serif Font, Luxury Serif, Display, Font, Branding, Logo, Fashion, Trend, Brand, Serif Font, Website, Web, Promotion</t>
  </si>
  <si>
    <t>Spiking</t>
  </si>
  <si>
    <t>Letternesia studio</t>
  </si>
  <si>
    <t>Ta Siyo</t>
  </si>
  <si>
    <t>imagens\Spiking.png</t>
  </si>
  <si>
    <t>https://www.myfonts.com/pt/collections/spiking-font-letternesia-studio</t>
  </si>
  <si>
    <t>Disply, Logo, Pamvlet, Poster, Advertaising, Headline, Editin, Disaen, Corporet, Baner, Advertaing, Ilustrasi</t>
  </si>
  <si>
    <t>Ellise</t>
  </si>
  <si>
    <t>Vyantype Studio</t>
  </si>
  <si>
    <t>Hero Novyanto</t>
  </si>
  <si>
    <t>imagens\Ellise.png</t>
  </si>
  <si>
    <t>https://www.myfonts.com/pt/collections/ellise-font-vyantype-studio</t>
  </si>
  <si>
    <t>Vintage, Classic, Retro, Cheerful, Playful, Handwrite, Western Vintage, 80's Font, Child, Play, Retro Font</t>
  </si>
  <si>
    <t>Rowler Wild</t>
  </si>
  <si>
    <t>Ardyanatypes</t>
  </si>
  <si>
    <t>Ardyana Putra</t>
  </si>
  <si>
    <t>imagens\Rowler_Wild.png</t>
  </si>
  <si>
    <t>https://www.myfonts.com/pt/collections/rowler-wild-font-ardyanatypes</t>
  </si>
  <si>
    <t>Rowlerwild, Brushfont, Wildbrushfont, Scriptbrushfont, Handbrushfont, Grungefont, Outdoorfont, Streetwearfont, Posterfont, Displayfont, Wildtypeface, Creativefont, Modernbrushscript</t>
  </si>
  <si>
    <t>Alfino Script</t>
  </si>
  <si>
    <t>imagens\Alfino_Script.png</t>
  </si>
  <si>
    <t>https://www.myfonts.com/pt/collections/alfino-script-font-madjack-font</t>
  </si>
  <si>
    <t>Modern, Handwritten, Poster, Poster Mockup, Wedding, Wedding Invitation, Wedding Invitation Mockup, Calligraphy, Calligraphy Fonts Symbols, Lettering, Mockups, Mockup</t>
  </si>
  <si>
    <t>Kroptic</t>
  </si>
  <si>
    <t>More Etc</t>
  </si>
  <si>
    <t>Robert Samsonowitz</t>
  </si>
  <si>
    <t>imagens\Kroptic.png</t>
  </si>
  <si>
    <t>https://www.myfonts.com/pt/collections/kroptic-font-more-etc</t>
  </si>
  <si>
    <t>Playful, Cut-out, Scissored, Cropped, Avant-garde, Experimental, Quirky, Vibrant, Energetic, Handcrafted, Retro, 1960s, Collage, Display, Headline, Poster, Logo, Branding, Packaging, Bold</t>
  </si>
  <si>
    <t>Jungle Fury</t>
  </si>
  <si>
    <t>Olivetype</t>
  </si>
  <si>
    <t>Nurul Hidayani</t>
  </si>
  <si>
    <t>imagens\Jungle_Fury.png</t>
  </si>
  <si>
    <t>https://www.myfonts.com/pt/collections/jungle-fury-font-olivetype</t>
  </si>
  <si>
    <t>Tribal Brush Font, Agressive Font, Animal Font, Jungle Font, Movie Font, Gaming Font</t>
  </si>
  <si>
    <t>Comic Big Medium</t>
  </si>
  <si>
    <t>Mvmet</t>
  </si>
  <si>
    <t>Gabriel Valentinus</t>
  </si>
  <si>
    <t>imagens\Comic_Big_Medium.png</t>
  </si>
  <si>
    <t>https://www.myfonts.com/pt/collections/comic-big-medium-font-mvmet</t>
  </si>
  <si>
    <t>Web Fonts, Book Fonts, Children Fonts, Cute Fonts, Clothing Fonts, Display Fonts, Handwritten Fonts, Playful Fonts, Whimsical, Procreate, Comic Text, Comic Book, Baby Fonts, Cartoon, Comic, Packaging, Chunky, Thick, Bold, Decorative</t>
  </si>
  <si>
    <t>Nevanty</t>
  </si>
  <si>
    <t>RagamKata</t>
  </si>
  <si>
    <t>Yogiswhara Dio Prakoso Riadi</t>
  </si>
  <si>
    <t>imagens\Nevanty.png</t>
  </si>
  <si>
    <t>https://www.myfonts.com/pt/collections/nevanty-font-ragamkata</t>
  </si>
  <si>
    <t>Modern Font, Condensed Font, Sans Font, Sans Serif, Bold Font, Stylish Font, Minimal Font, Ligature Font, Techno Font, Technology Font, Vintage Font, Retro Font, Urban Font, Branding Font, Futuristic Font, Edgy Font, Modern, Sleek</t>
  </si>
  <si>
    <t>Assado artesanal</t>
  </si>
  <si>
    <t>Sarid Ezra</t>
  </si>
  <si>
    <t>imagens\Assado_artesanal.png</t>
  </si>
  <si>
    <t>https://www.myfonts.com/pt/collections/artisan-roast-font-sarid-ezra</t>
  </si>
  <si>
    <t>Fancy Fonts, Modern Fonts, Bold Fonts, Elegant, Branding, Logo, Poster, Vintage, Retro, Hipster Fonts, Camping, Organic, Handmade, Hand Lettering, Logotype, Sans Fonts, Stripe Fonts, Lettering, Rough Fonts, Layered</t>
  </si>
  <si>
    <t>Very Bright</t>
  </si>
  <si>
    <t>Jena Fonts</t>
  </si>
  <si>
    <t>Tarik Zahir</t>
  </si>
  <si>
    <t>imagens\Very_Bright.png</t>
  </si>
  <si>
    <t>https://www.myfonts.com/pt/collections/very-bright-font-jena-fonts</t>
  </si>
  <si>
    <t>Modern, Retro, Ligature Font, Holiday Fonts, Fun Fonts, Unique Fonts, Attractive Fonts, Vintage</t>
  </si>
  <si>
    <t>Haunted Carnival</t>
  </si>
  <si>
    <t>Brown Cupple Typeface</t>
  </si>
  <si>
    <t>Nattha Potchanad</t>
  </si>
  <si>
    <t>imagens\Haunted_Carnival.png</t>
  </si>
  <si>
    <t>https://www.myfonts.com/pt/collections/haunted-carnival-font-brown-cupple-typeface</t>
  </si>
  <si>
    <t>Halloween, Horror, Movie, Creepy, Dark, Zombie, Thriller, Spooky, Scary, Monster, Ghost, Evil, Distressed, Dripping, Display, Decorative</t>
  </si>
  <si>
    <t>Spooky Humerus</t>
  </si>
  <si>
    <t>imagens\Spooky_Humerus.png</t>
  </si>
  <si>
    <t>https://www.myfonts.com/pt/collections/spooky-humerus-font-brown-cupple-typeface</t>
  </si>
  <si>
    <t>Halloween, Display, Decorative, Bold, Retro, Groovy, Dripping, Horror, Creepy, Spooky, Thriller, Zombie, Movie, Poster</t>
  </si>
  <si>
    <t>Bubble Foam</t>
  </si>
  <si>
    <t>Patlot Digital Studio</t>
  </si>
  <si>
    <t>Gugun Gunawan</t>
  </si>
  <si>
    <t>imagens\Bubble_Foam.png</t>
  </si>
  <si>
    <t>https://www.myfonts.com/pt/collections/bubble-foam-font-patlot-digital-studio</t>
  </si>
  <si>
    <t>Bubble, Bubble Foam, Bubble Font, Kids, Child, Children, Back To School, School, Teacher, Groovy, Groovy Font, Display Font, Fun, Playful, Cute, Bubble Display</t>
  </si>
  <si>
    <t>Bimo Toon</t>
  </si>
  <si>
    <t>imagens\Bimo_Toon.png</t>
  </si>
  <si>
    <t>https://www.myfonts.com/pt/collections/bimo-toon-font-patlot-digital-studio</t>
  </si>
  <si>
    <t>Comic, Toon, Cartoon, Display Font, Bimo Toon, Playfull, Fun, Funny, Cute Font, Cartoon Typography, Bold, Lettering, San, Super Hero, Comic Book, Kids, Children, Back To School, Teacher</t>
  </si>
  <si>
    <t>Antique Grunge</t>
  </si>
  <si>
    <t>imagens\Antique_Grunge.png</t>
  </si>
  <si>
    <t>https://www.myfonts.com/pt/collections/antique-grunge-font-patlot-digital-studio</t>
  </si>
  <si>
    <t>Retro, Groovy, Hippie, Retro Font, Retro Script, Vintage, Vintage Vibes, Antique Grunge, Old School Font, Fonts Display, Script, 80s, 90s, Script Font, Handwritten, T Shirt, Wedding</t>
  </si>
  <si>
    <t>Neura Path</t>
  </si>
  <si>
    <t>Four Lines Std</t>
  </si>
  <si>
    <t>Zain Fahroni</t>
  </si>
  <si>
    <t>imagens\Neura_Path.png</t>
  </si>
  <si>
    <t>https://www.myfonts.com/pt/collections/neura-path-font-four-lines-std</t>
  </si>
  <si>
    <t>Display Font, Bold Display, Sans Serif, Stencil Font, Geometric Font, Industrial Design, Futuristic Font, Modern Typography, Bold Typography, Font Design, Typography Design, Poster Design, Logo Design, Editorial Design, Packaging Desig</t>
  </si>
  <si>
    <t>Gingar Roll</t>
  </si>
  <si>
    <t>Melli Diete</t>
  </si>
  <si>
    <t>imagens\Gingar_Roll.png</t>
  </si>
  <si>
    <t>https://www.myfonts.com/pt/collections/gingar-roll-font-melle-diete</t>
  </si>
  <si>
    <t>Fat, Bold, Strong, Cute, Display, Poster, Whopper, Big, Swashes, Brand, Headline, Branding, Packaging, Brush</t>
  </si>
  <si>
    <t>Gingar Rock</t>
  </si>
  <si>
    <t>imagens\Gingar_Rock.png</t>
  </si>
  <si>
    <t>https://www.myfonts.com/pt/collections/gingar-rock-font-melle-diete</t>
  </si>
  <si>
    <t>Fat, Bold, Strong, Cute, Display, Poster, Big, Whopper</t>
  </si>
  <si>
    <t>Cegha</t>
  </si>
  <si>
    <t>imagens\Cegha.png</t>
  </si>
  <si>
    <t>https://www.myfonts.com/pt/collections/cegha-font-timelesstype-studio</t>
  </si>
  <si>
    <t>Bold Sans Serif Font</t>
  </si>
  <si>
    <t>Besluty</t>
  </si>
  <si>
    <t>Qweera Studio</t>
  </si>
  <si>
    <t>Idhham Cholid Rikzano Yahya</t>
  </si>
  <si>
    <t>Oct 6, 2025</t>
  </si>
  <si>
    <t>imagens\Besluty.png</t>
  </si>
  <si>
    <t>https://www.myfonts.com/pt/collections/besluty-font-qweera-studio</t>
  </si>
  <si>
    <t>Serif, Modern, Luxury, Elegant, Branding, Editorial, Headline, Stylish, Minimal, Classic, Highend, Vintage, Signature, Logo, Typography, Design, Font, Template, Fashion, Printable, Clean, Feminine, Premium, Magazine, Invitation, Brandingkit, Minimalist, Deluxe, Refined, Creative, Stylized, Graceful, Sophisticated, Alternates, Fancy, Decorative, Versatile, Exclusive, Professional</t>
  </si>
  <si>
    <t>Ahmad Bantani</t>
  </si>
  <si>
    <t>Stringlabs Creative Studio</t>
  </si>
  <si>
    <t>Virgiawan Listanto</t>
  </si>
  <si>
    <t>imagens\Ahmad_Bantani.png</t>
  </si>
  <si>
    <t>https://www.myfonts.com/pt/collections/ahmad-bantani-font-stringlabs-creative-studio</t>
  </si>
  <si>
    <t>Handwritten, Signature, Script, Handlettering, Handwritting, Calligraphy, Logotype, Multilingual, Casual, Elegant, Whimsical, Lovely, Stylish, Luxury, Branding</t>
  </si>
  <si>
    <t>Monarch Blood</t>
  </si>
  <si>
    <t>Kaidosan</t>
  </si>
  <si>
    <t>Muhammad Ansari</t>
  </si>
  <si>
    <t>imagens\Monarch_Blood.png</t>
  </si>
  <si>
    <t>https://www.myfonts.com/pt/collections/monarch-blood-font-kaidosan</t>
  </si>
  <si>
    <t>Horror Font, Scary Typeface, Dark Display Font, Creepy Font, Gothic Horror, Spooky Typeface, Halloween Font, Vintage Horror, Decorative Horror, Shadow Font, Grunge Typeface, Dramatic Font, Bloody Typeface, Eerie Font, Bold Horror, Movie Poster Font, Haunted Typeface, Thriller Font, Gothic Display, Horror Branding, Creepy Logo, Scary Text, Mysterious Typeface, Shadow Style Font, Regular Decorative Font, Unique Horror Typeface, Fantasy Horror Font, Horror T-shirt Font, Dramatic Poster Font, Halloween Party Font</t>
  </si>
  <si>
    <t>Eterna Churme</t>
  </si>
  <si>
    <t>Jafar07</t>
  </si>
  <si>
    <t>Bakhrudin Ja'far</t>
  </si>
  <si>
    <t>imagens\Eterna_Churme.png</t>
  </si>
  <si>
    <t>https://www.myfonts.com/pt/collections/eterna-churme-font-jafar07</t>
  </si>
  <si>
    <t>Luxury, Serif, Timeless, Elegance, Modern, Sophistication, Family, Typeface, Purpose, Magazine, Headline, Fashion, Chic, Graceful, Curves, Premium, Versatile, Aesthetic, Branding, Wedding, Invitation, Packaging, Social Media, Refined</t>
  </si>
  <si>
    <t>Imperial Aureas</t>
  </si>
  <si>
    <t>Lettertype Studio</t>
  </si>
  <si>
    <t>Diki Pradipta Tri Atmojo</t>
  </si>
  <si>
    <t>imagens\Imperial_Aureas.png</t>
  </si>
  <si>
    <t>https://www.myfonts.com/pt/collections/imperial-aureas-font-lettertype-studio</t>
  </si>
  <si>
    <t>Minimal Modern, Minimal, Modern, Food, Brand Identity, Corporate, Beauty Logo, Beuaty, Logo, Editorial, Serif, Editorial Serif, Modern Serif, Elegant, Clean, Packaging, Packaging Font, Luxury, Branding, Italic, Timeless, Stylish</t>
  </si>
  <si>
    <t>Saqi</t>
  </si>
  <si>
    <t>imagens\Saqi.png</t>
  </si>
  <si>
    <t>https://www.myfonts.com/pt/collections/saqi-font-kufic-studio</t>
  </si>
  <si>
    <t>Modern Font, Minimalist Font, Clean Sans Serif, Kufic Studio, Geometric Font, Display Font, Branding Font, Logo Typeface, Contemporary Typography, Minimal Font Family, Multilingual Font, Cyrillic Font, Turkish Character Support, Global Font, European Languages Font, Russian Alphabet Font, Ukrainian Alphabet Font, Latin Extended, German Umlaut Font, Scribble Typeface, Rough Font, Layered Font, Distressed Font, Shadow Font, Saqi Font, Modern Minimalist Font, Display Font Family, Textured Rough Outline</t>
  </si>
  <si>
    <t>Turboline</t>
  </si>
  <si>
    <t>Gleb Guralnyk</t>
  </si>
  <si>
    <t>imagens\Turboline.png</t>
  </si>
  <si>
    <t>https://www.myfonts.com/pt/collections/turboline-font-gleb-guralnyk</t>
  </si>
  <si>
    <t>Retro, Vintage, Striped, Racing, Speed, Track, Bold, Display, Headline, Poster, Arcade, Eighties, Nineties, Neon, Synthwave, Modern, Motion, Dynamic, Curves, Rounded, Logo, Branding, Font, Title, Sport, Sporty, Set, Text, Raceway, Y2k, Streamline, Fast, Turbo, Creative, Lines, Decorative, Graphic, Nostalgic, Design, Futuristic, Abstract, Old, Stripe, Typographic, Lettering, Stylish, Print, Signage, Automotive, Type, Alphabet, Typeface</t>
  </si>
  <si>
    <t>Berllianha Sostemhor</t>
  </si>
  <si>
    <t>imagens\Berllianha_Sostemhor.png</t>
  </si>
  <si>
    <t>https://www.myfonts.com/pt/collections/berllianha-sostemhor-font-ayska</t>
  </si>
  <si>
    <t>Handwriting, Handwritten, Handmade, Script, Modern Font, Signature Font, Logo Font, Elegant Font, Stylish Font, Chic Font, Swash, Ligatures, Branding, Hand Lettered, Cursive Font, Natural Type, Invitations, Typography, Typeface, Logotype, Text, Casual Script, Website Font, Instagram, Canva, Social Media Post</t>
  </si>
  <si>
    <t>Quiketa</t>
  </si>
  <si>
    <t>Rotterlab Studio</t>
  </si>
  <si>
    <t>Sidiq Fahmi</t>
  </si>
  <si>
    <t>imagens\Quiketa.png</t>
  </si>
  <si>
    <t>https://www.myfonts.com/pt/collections/quiketa-font-rotterlab-studio</t>
  </si>
  <si>
    <t>Font, Serif, Editorial, Sophisticated, Elegant Serif Font, Serif Display Font, Variable Serif Font, Branding Font, Cursive, Stylish, Fonts for Magazines, OpenType Serif Font, Classy, Typeface, Serif Font, Sharp, Sharp Serif Font, Logo Font, Display Font, Magazine, Chic, Fashion Font, Smooth Font, Text, Serif Style Variations, High Fashion Font, Luxury Branding Font, Fonts for Posters, Decorative Font, Vintage Font, Elegant Font, Luxurious, Condensed Font, Italic Font, Elegance, Modern</t>
  </si>
  <si>
    <t>Neonette Sans</t>
  </si>
  <si>
    <t>Ghozai Studio</t>
  </si>
  <si>
    <t>Manzur Ghozaali</t>
  </si>
  <si>
    <t>imagens\Neonette_Sans.png</t>
  </si>
  <si>
    <t>https://www.myfonts.com/pt/collections/neonette-sans-font-ghozai-studio</t>
  </si>
  <si>
    <t>Full Family, Sans Serif, Branding, Logo, Elegant, Prints, Clean, Modern, Neutral, Legible, Book, Wedding, Readable, Luxury, Fashion</t>
  </si>
  <si>
    <t>Distant Memories</t>
  </si>
  <si>
    <t>Bluestype Studio</t>
  </si>
  <si>
    <t>Jefri Dwi Alfatah</t>
  </si>
  <si>
    <t>imagens\Distant_Memories.png</t>
  </si>
  <si>
    <t>https://www.myfonts.com/pt/collections/distant-memories-font-bluestype-studio</t>
  </si>
  <si>
    <t>Script, Handwritten, Handwriting, Natural, Casual, Pen, Handmade</t>
  </si>
  <si>
    <t>Calm Notes</t>
  </si>
  <si>
    <t>imagens\Calm_Notes.png</t>
  </si>
  <si>
    <t>https://www.myfonts.com/pt/collections/calm-notes-font-muksal-creatives</t>
  </si>
  <si>
    <t>Casual Handwritten, Handwritten Font, Lifestyle Font, Branding Font, Logo Font, Coffee Shop Font, Journal Font, Cozy Font, Modern Handwriting, Script Display, Hand Lettering, Natural Font, Organic Typeface, Blog Font, Packaging Font, Social Media Font, Stationery Font, Greeting Card Font, Friendly Font</t>
  </si>
  <si>
    <t>Magic Memories</t>
  </si>
  <si>
    <t>imagens\Magic_Memories.png</t>
  </si>
  <si>
    <t>https://www.myfonts.com/pt/collections/magic-memories-font-seemly-fonts</t>
  </si>
  <si>
    <t>Christmas, Christmas Font, Handwritten, Handwritten Font, Handwriting, Handwriting Font, Script Font, Display Font, Modern Font, Banner Font, Typeface, New Font, Fresh Font</t>
  </si>
  <si>
    <t>Magnificent Sourdough</t>
  </si>
  <si>
    <t>Imoodev</t>
  </si>
  <si>
    <t>Aulia Savira Putri</t>
  </si>
  <si>
    <t>imagens\Magnificent_Sourdough.png</t>
  </si>
  <si>
    <t>https://www.myfonts.com/pt/collections/magnificent-sourdough-font-imoodev</t>
  </si>
  <si>
    <t>Handwritten, Brush, Handwriting, Cursive, Elegant, Romantic, Calligraphy, Organic, Nature, Playful, Spring, Summer, Valentine, Bouncy Script, Modern Calligraphy, Whimsical, Modern Script, Rustic, Invitation, Happy Birthday, Christmas, Agriculture, Farmhouse, Xmas, Feminine, Bakery, Wedding Invitation, Cute, Crafter, Authentic, Sweet, Baby Shower, Casual Script, Wedding, Script</t>
  </si>
  <si>
    <t>Marcella Wishes</t>
  </si>
  <si>
    <t>imagens\Marcella_Wishes.png</t>
  </si>
  <si>
    <t>https://www.myfonts.com/pt/collections/marcella-wishes-font-tini-fitriani</t>
  </si>
  <si>
    <t>Script, Retro, Groovy, Vintage, Typography, Display, Handwritten Font, Varsity, 80s, 90s, Hipster, Typeface, Hippie, Extrude Font, Bold Vintage, Modern Retro, Old Font, Old Style, Lettering Font, Cursive Font, Display Font, Classic Font</t>
  </si>
  <si>
    <t>Brondia Derepina</t>
  </si>
  <si>
    <t>Bayuktx</t>
  </si>
  <si>
    <t>Bayu Aji Fais Mursid</t>
  </si>
  <si>
    <t>imagens\Brondia_Derepina.png</t>
  </si>
  <si>
    <t>https://www.myfonts.com/pt/collections/brondia-derepina-font-bayuktx</t>
  </si>
  <si>
    <t>Calligraphy, Script, Handwritten, Font, Typography, Classic, Typeface, Elegant, Luxury, Wedding, Beauty, Handwriting, Logotype, Decorative, Stylish, Poster, Romantic, Label, Template, Quotes, Boutique, Fashionable, Monoline, Feminine, Modern, Display, Branding, Invitation, Aesthetic, Premium, Cosmetic, Signature</t>
  </si>
  <si>
    <t>Mythical Glorious</t>
  </si>
  <si>
    <t>imagens\Mythical_Glorious.png</t>
  </si>
  <si>
    <t>https://www.myfonts.com/pt/collections/mythical-glorious-font-stringlabs-creative-studio</t>
  </si>
  <si>
    <t>Bold, Brush, Calligraphy, Handlettering, Handwritten, Handwritting, Textured, Logotype, Branding, Stylish, Display</t>
  </si>
  <si>
    <t>Basquito</t>
  </si>
  <si>
    <t>Bentype</t>
  </si>
  <si>
    <t>Muhammad Farkhan</t>
  </si>
  <si>
    <t>imagens\Basquito.png</t>
  </si>
  <si>
    <t>https://www.myfonts.com/pt/collections/basquito-font-bentype</t>
  </si>
  <si>
    <t>Brush Font, Grunge Font, Hand Lettering, Hipster, Artsy Font</t>
  </si>
  <si>
    <t>Adventure Awaits</t>
  </si>
  <si>
    <t>imagens\Adventure_Awaits.png</t>
  </si>
  <si>
    <t>https://www.myfonts.com/pt/collections/adventure-awaits-font-bluestype-studio</t>
  </si>
  <si>
    <t>Bold, Adventure, Display, Cool, Sans Serif, Branding, Social Media</t>
  </si>
  <si>
    <t>Last One Out</t>
  </si>
  <si>
    <t>imagens\Last_One_Out.png</t>
  </si>
  <si>
    <t>https://www.myfonts.com/pt/collections/last-one-out-font-tini-fitriani</t>
  </si>
  <si>
    <t>Horror Font, Halloween, Fancy, Display, Spooky, Ghost, Heavy Metal, Witch, Mystery Font, Mystery, Scary, Skull Font, Witch Font, Zombie, Apparel, Black Metal, Boho Font, Spooky Season, Haunted Font, October Font, Quirky Font</t>
  </si>
  <si>
    <t>Pixolism</t>
  </si>
  <si>
    <t>imagens\Pixolism.png</t>
  </si>
  <si>
    <t>https://www.myfonts.com/pt/collections/pixolism-font-bentype</t>
  </si>
  <si>
    <t>Pixel Font, Tech Font, Y2k Font, Sapce Font, Digital Font, Monoline Font</t>
  </si>
  <si>
    <t>Nduro Konal</t>
  </si>
  <si>
    <t>Twinletter</t>
  </si>
  <si>
    <t>Rozikan Rozikan</t>
  </si>
  <si>
    <t>imagens\Nduro_Konal.png</t>
  </si>
  <si>
    <t>https://www.myfonts.com/pt/collections/nduro-konal-font-twinletter</t>
  </si>
  <si>
    <t>Font, Drip, Graffiti, Splash, Bleed, Ink, Fluid, Psychedelic, Retro, Bubble, Crack, 90s, Water, Logo, Y2k, Abstract</t>
  </si>
  <si>
    <t>YJC Dear Dotty</t>
  </si>
  <si>
    <t>Yenty Jap Co</t>
  </si>
  <si>
    <t>Yenty Jap</t>
  </si>
  <si>
    <t>imagens\YJC_Dear_Dotty.png</t>
  </si>
  <si>
    <t>https://www.myfonts.com/pt/collections/yjc-dear-dotty-font-yenty-jap-co</t>
  </si>
  <si>
    <t>Vintage Font, Retro Script, Bold Display Font, Hand-lettered Style, Americana Typeface, Nostalgic Typography, Classic Signage Font, Mid-century Style, Coffee Shop Font, Bakery Logo Font, Craft Beer Label Font, Café Branding Font, Concert Poster Font, Festival Typography, Vinyl Cover Font, Rockabilly Style Font, Neon Sign Typeface, Streetwear Typography, Athletic Branding Font, Jersey Lettering Font, Packaging Font, Label Design Font, Logo Design Font, Boutique Brand Font, Handmade Product Font, Road Trip Font, Motel Sign Font, Route 66 Style, Classic Car Show Font</t>
  </si>
  <si>
    <t>ZP Goblin Grins</t>
  </si>
  <si>
    <t>imagens\ZP_Goblin_Grins.png</t>
  </si>
  <si>
    <t>https://www.myfonts.com/pt/collections/zp-goblin-grins-font-lettering-delights</t>
  </si>
  <si>
    <t>Jackolantern, Jack-o-lantern, Halloween, Pumpkin, Scary, Scary Face, Creepy, Handwriting, Hand Writing, Hand-writing, Handwritten, Hand-written, Hand Written, Hand-printed, Hand Printed, Print</t>
  </si>
  <si>
    <t>Oleho Senthor</t>
  </si>
  <si>
    <t>imagens\Oleho_Senthor.png</t>
  </si>
  <si>
    <t>https://www.myfonts.com/pt/collections/oleho-senthor-font-twinletter</t>
  </si>
  <si>
    <t>Drip, Graffiti, Splash, Bleed, Ink, Fluid, Psychedelic, Retro, Bubble, Crack, 90s, Water, Logo, Y2k, Abstract</t>
  </si>
  <si>
    <t>DT Nachis</t>
  </si>
  <si>
    <t>Dryy Type</t>
  </si>
  <si>
    <t>Rian Dryana</t>
  </si>
  <si>
    <t>imagens\DT_Nachis.png</t>
  </si>
  <si>
    <t>https://www.myfonts.com/pt/collections/dt-nachis-font-dryy-type</t>
  </si>
  <si>
    <t>Retro, Beach, Vacation, Holiday, Display, Sans Display, Logotype, Bold</t>
  </si>
  <si>
    <t>Slinky</t>
  </si>
  <si>
    <t>Font&amp;Co.</t>
  </si>
  <si>
    <t>Francesco Gianesini</t>
  </si>
  <si>
    <t>imagens\Slinky.png</t>
  </si>
  <si>
    <t>https://www.myfonts.com/pt/collections/slinky-font-font-and-co</t>
  </si>
  <si>
    <t>heavy, logo, swashes, vintage, coca-cola, baseball script, tails, сѓр¶рµ рµсѓс‚сњ, heading, casual, decorative, romantic, brush, ñƒð¶ðµ ðµññ‚ñœ, calligraphy, wedding</t>
  </si>
  <si>
    <t>Hottest Springs Variable Pro</t>
  </si>
  <si>
    <t>Oct 10, 2025</t>
  </si>
  <si>
    <t>imagens\Hottest_Springs_Variable_Pro.png</t>
  </si>
  <si>
    <t>https://www.myfonts.com/pt/collections/hottest-springs-variable-pro-font-letterfreshstudio</t>
  </si>
  <si>
    <t>Font, Variable Font, Script Font, Modern Font, Script Variable, Sans, Elegant, Vintage, Branding, Poster, Ligatures, Casual, Visual, Handmade, Wedding, Posters, Magaziness, Web Font, New, Newsletters, Serif Font, Romantic, Unique, Packaging Scripts</t>
  </si>
  <si>
    <t>Sharp Roman</t>
  </si>
  <si>
    <t>Sharp Type</t>
  </si>
  <si>
    <t>imagens\Sharp_Roman.png</t>
  </si>
  <si>
    <t>https://www.myfonts.com/pt/collections/sharp-roman-font-sharp-type</t>
  </si>
  <si>
    <t>Sharp Serif Text PE</t>
  </si>
  <si>
    <t>imagens\Sharp_Serif_Text_PE.png</t>
  </si>
  <si>
    <t>https://www.myfonts.com/pt/collections/sharp-serif-text-pe-font-sharp-type</t>
  </si>
  <si>
    <t>Sharp Earth Thai</t>
  </si>
  <si>
    <t>imagens\Sharp_Earth_Thai.png</t>
  </si>
  <si>
    <t>https://www.myfonts.com/pt/collections/sharp-earth-thai-font-sharp-type</t>
  </si>
  <si>
    <t>Sharp Serif Text</t>
  </si>
  <si>
    <t>imagens\Sharp_Serif_Text.png</t>
  </si>
  <si>
    <t>https://www.myfonts.com/pt/collections/sharp-serif-text-font-sharp-type</t>
  </si>
  <si>
    <t>Sharp Serif Display PE</t>
  </si>
  <si>
    <t>imagens\Sharp_Serif_Display_PE.png</t>
  </si>
  <si>
    <t>https://www.myfonts.com/pt/collections/sharp-serif-display-pe-font-sharp-type</t>
  </si>
  <si>
    <t>Octave</t>
  </si>
  <si>
    <t>https://www.myfonts.com/pt/collections/octave-font-sharp-type</t>
  </si>
  <si>
    <t>Sharp Serif Display OL</t>
  </si>
  <si>
    <t>imagens\Sharp_Serif_Display_OL.png</t>
  </si>
  <si>
    <t>https://www.myfonts.com/pt/collections/sharp-serif-display-ol-font-sharp-type</t>
  </si>
  <si>
    <t>Peach Sangria</t>
  </si>
  <si>
    <t>Set Sail Studios</t>
  </si>
  <si>
    <t>Sam Parrett</t>
  </si>
  <si>
    <t>imagens\Peach_Sangria.png</t>
  </si>
  <si>
    <t>https://www.myfonts.com/pt/collections/peach-sangria-font-set-sail-studios</t>
  </si>
  <si>
    <t>Retro, Groovy, Script, Sexy, Glam, Glamorous, Vintage, Connected, Smooth, Funky, 70s, 80s, Stylish, Fancy, Flourish, Chunky, Serif, Cool, Elegant, Classic, Bold</t>
  </si>
  <si>
    <t>Forest Haven</t>
  </si>
  <si>
    <t>Stephen Rapp</t>
  </si>
  <si>
    <t>Stephen W. Rapp</t>
  </si>
  <si>
    <t>imagens\Forest_Haven.png</t>
  </si>
  <si>
    <t>https://www.myfonts.com/pt/collections/forest-haven-font-stephen-rapp</t>
  </si>
  <si>
    <t>Casual Script, Logo, Romantic, Business Card, Swash, Calligraphy, Brush, Script, Contemporary, Lettering, Beauty, Signpainting, Stylish, Wedding, Branding, Handwritten, Heading, Expressive, Alternative, Display, Playful, Natural, Artistic, Greeting Card, Invitation, Fashion, Bold, Publishing, Poster, Handmade, Coffee, Food, Music, Packaging, Alternatives, Greetings, Modern</t>
  </si>
  <si>
    <t>Takayurakucho-kaku-DB</t>
  </si>
  <si>
    <t>Taka Design Production</t>
  </si>
  <si>
    <t>Oct 9, 2025</t>
  </si>
  <si>
    <t>https://www.myfonts.com/pt/collections/takayurakucho-kaku-db-font-taka-design-production</t>
  </si>
  <si>
    <t>Takayukoh</t>
  </si>
  <si>
    <t>https://www.myfonts.com/pt/collections/takayukoh-font-taka-design-production</t>
  </si>
  <si>
    <t>Takayukyo</t>
  </si>
  <si>
    <t>https://www.myfonts.com/pt/collections/takayukyo-font-taka-design-production</t>
  </si>
  <si>
    <t>TT Quaris</t>
  </si>
  <si>
    <t>TypeType Team</t>
  </si>
  <si>
    <t>Ivan Gladkikh</t>
  </si>
  <si>
    <t>Oct 12, 2025</t>
  </si>
  <si>
    <t>imagens\TT_Quaris.png</t>
  </si>
  <si>
    <t>https://www.myfonts.com/pt/collections/tt-quaris-font-typetype</t>
  </si>
  <si>
    <t>Serif, Display, High Contrast, Headline, Modern, Poetic, Unique, Elegant, Icons, Publication</t>
  </si>
  <si>
    <t>Ongunkan Anglo Saxon Predetor</t>
  </si>
  <si>
    <t>Runic World Tamgacı</t>
  </si>
  <si>
    <t>Osman Nuri ALKAN</t>
  </si>
  <si>
    <t>Oct 11, 2025</t>
  </si>
  <si>
    <t>imagens\Ongunkan_Anglo_Saxon_Predetor.png</t>
  </si>
  <si>
    <t>https://www.myfonts.com/pt/collections/ongunkan-anglo-saxon-predetor-font-runic-world-tamgaci</t>
  </si>
  <si>
    <t>Anglo Saxon, Runic, Historical, Antique, Fantastic, Game, Movie, Film, Art, Book</t>
  </si>
  <si>
    <t>Kesradat Variable</t>
  </si>
  <si>
    <t>Differentialtype</t>
  </si>
  <si>
    <t>Sidik Sidik</t>
  </si>
  <si>
    <t>imagens\Kesradat_Variable.png</t>
  </si>
  <si>
    <t>https://www.myfonts.com/pt/collections/kesradat-variable-font-differentialtype</t>
  </si>
  <si>
    <t>Variable, Display, Sans Serif, Family, Legible, Clean, Industrial, Logo, Branding, Modern, Smooth, Sport, Headline, Title, Book, Document, Game, Future, Futuristic, New</t>
  </si>
  <si>
    <t>Ongunkan Greek Ionien Ellada</t>
  </si>
  <si>
    <t>imagens\Ongunkan_Greek_Ionien_Ellada.png</t>
  </si>
  <si>
    <t>https://www.myfonts.com/pt/collections/ongunkan-greek-ionien-ellada-font-runic-world-tamgaci</t>
  </si>
  <si>
    <t>Greek, Ellada, Hellenic, Historical, Akademic, Book, Art, Archaic, Fantastic, Monumental, Ancient Times</t>
  </si>
  <si>
    <t>Graffira</t>
  </si>
  <si>
    <t>DM Studio</t>
  </si>
  <si>
    <t>Dimas Prasetyo</t>
  </si>
  <si>
    <t>imagens\Graffira.png</t>
  </si>
  <si>
    <t>https://www.myfonts.com/pt/collections/graffira-font-dm-studio</t>
  </si>
  <si>
    <t>Graffiti Font, Bold Display Font, Urban Graffiti Letters, Streetwear Logo Font, Edgy Graffiti Style Font, Street Art Font, Hip Hop Graffiti Font, Urban Display Font, Graffiti Headline Font, Music Cover Font, Bold Urban Lettering, Graffiti Style Logo, Poster Graffiti Font, Cricut Graffiti Font, Street Culture Font, Edgy Display Font, Grunge Graffiti Typeface, Urban Apparel Font, Graffiti Inspired Alphabet, Strong Graffiti Display Font</t>
  </si>
  <si>
    <t>Pinky Gallito</t>
  </si>
  <si>
    <t>Java Pep</t>
  </si>
  <si>
    <t>imagens\Pinky_Gallito.png</t>
  </si>
  <si>
    <t>https://www.myfonts.com/pt/collections/pinky-gallito-font-java-pep</t>
  </si>
  <si>
    <t>Handwriting Font, Elegant Font, Pretty Fonts, Logo Fonts, Logotype, Signature Fonts, Quote Font, Script Font, Advertising Mockup, Cosmetic, Packaging, Branding Font, Multilingual Font</t>
  </si>
  <si>
    <t>Aroney</t>
  </si>
  <si>
    <t>IM Studio</t>
  </si>
  <si>
    <t>Ikhsan Maulana</t>
  </si>
  <si>
    <t>imagens\Aroney.png</t>
  </si>
  <si>
    <t>https://www.myfonts.com/pt/collections/aroney-font-logic-type</t>
  </si>
  <si>
    <t>modern, funny, 1990s, patterned, progressive, heading, decorative, retro, shaded</t>
  </si>
  <si>
    <t>Gorgon Cursed Dripping</t>
  </si>
  <si>
    <t>imagens\Gorgon_Cursed_Dripping.png</t>
  </si>
  <si>
    <t>https://www.myfonts.com/pt/collections/gorgon-cursed-dripping-font-tini-fitriani</t>
  </si>
  <si>
    <t>Horror Font, Halloween, Dripping, Blood, Fancy, Display, Spooky, Ghost, Heavy Metal, Witch, Mystery, Scary, Rock, Skull Font, Witch Font, Zombie Font, Apparel, Black Metal, Dark, Darkness, Death Core, Spooky Season, Haunted Font, October Font, Quirky Font, Gothic, Grindcore</t>
  </si>
  <si>
    <t>Callmira</t>
  </si>
  <si>
    <t>imagens\Callmira.png</t>
  </si>
  <si>
    <t>https://www.myfonts.com/pt/collections/callmira-font-jafar07</t>
  </si>
  <si>
    <t>Modern, Luxury, Logo, Serif, Clean, Magazine, Fashion, Wedding, Branding, Headlines, Layouts, Website, Elegant, Classic, Social Media</t>
  </si>
  <si>
    <t>Barque cultura</t>
  </si>
  <si>
    <t>imagens\Barque_cultura.png</t>
  </si>
  <si>
    <t>https://www.myfonts.com/pt/collections/barque-cultura-font-jafar07</t>
  </si>
  <si>
    <t>Bold, Modern, Serif, Display, Aesthetic, Elegance, Typeface, Editorial, Layout, Fashion, Branding, Posters, Logo, Creativity</t>
  </si>
  <si>
    <t>Stragon</t>
  </si>
  <si>
    <t>imagens\Stragon.png</t>
  </si>
  <si>
    <t>https://www.myfonts.com/pt/collections/stragon-font-jafar07</t>
  </si>
  <si>
    <t>Serif, Bold, Luxury, Contrast, Fashion, Logo, Branding, Modern, Aesthetic, Classic, Timeless, Typeface, Poster, Billboard, Bussines Card</t>
  </si>
  <si>
    <t>Guorta</t>
  </si>
  <si>
    <t>imagens\Guorta.png</t>
  </si>
  <si>
    <t>https://www.myfonts.com/pt/collections/guorta-font-artiveko</t>
  </si>
  <si>
    <t>Font, Logo, Sans, Serif, Minimalist, Creative, Business, Elegant, Clean, Text, Type, Typeface, Typography, Letter, Alphabet, Otf, Ttf, Woff, Woff2, Display, Title, Poster, Heading, Headline, Brand, Identity, Branding</t>
  </si>
  <si>
    <t>The Eliven Editorial Family</t>
  </si>
  <si>
    <t>imagens\The_Eliven_Editorial_Family.png</t>
  </si>
  <si>
    <t>https://www.myfonts.com/pt/collections/the-eliven-editorial-family-font-logic-type</t>
  </si>
  <si>
    <t>Font, Serif, Modern, Script, Italic, Scale, Poster, Logo, Headline, Opentype, Logotype, Package, Family, Superfamily, Cyrillic, Functional, Web, Branding, Sans Serif Font, Business, Sans Font, Alternates, Variable, Font Family, Workhorse, Wedding, Im Studio, The Eliven Editorial</t>
  </si>
  <si>
    <t>Fox Boldium Shadow</t>
  </si>
  <si>
    <t>imagens\Fox_Boldium_Shadow.png</t>
  </si>
  <si>
    <t>https://www.myfonts.com/pt/collections/fox-boldium-shadow-font-fox7</t>
  </si>
  <si>
    <t>Bold Font, Display Font, Retro Font, Modern Font, Vintage Style, Outline Font, Shadow Font, Spot Style Font, Strokes Font, Layered Font, Poster Font, Headline Font, Title Font, Branding Font, Logo Font, Packaging Font, Advertising Font, Creative Font, Playful Font, Striking Font, Attention Grabbing Font, Strong Font, Versatile Font, Eye-catching Font, Stylish Font, Funky Font, Decorative Font, Modern Retro Font, Graphic Design Font, Social Media Font, Merch Font, Typography Font, Cool Font, Geometric Font, Contemporary Font, Canva Font, Procreate Font, Bold Typeface, Display Typeface, Retro Typeface, Modern Typeface, Outline Typeface, Shadow Typeface, Minimal Font, Fashion Font, Poster Typeface, Branding Typeface, Logo Typeface, Packaging Typeface, Stylish Typeface</t>
  </si>
  <si>
    <t>MC Heinstorm</t>
  </si>
  <si>
    <t>Maulana Creative</t>
  </si>
  <si>
    <t>Gilang Maulana</t>
  </si>
  <si>
    <t>imagens\MC_Heinstorm.png</t>
  </si>
  <si>
    <t>https://www.myfonts.com/pt/collections/mc-heinstorm-font-maulana-creative</t>
  </si>
  <si>
    <t>Heinstorm, BrushFont, Handmade, Typography, Font, Creative, Expressive Font, Commercial Use, Creative Design, Web Font, Illustrator, Photoshop, Font Style, Streetwear Font, Brush Font, Logo Design, Branding, Poster Design, T-Shirt Design, Packaging Design, Digital Art, Visual Design, Handcrafted, Custom Font, Font Showcase, Design Inspiration</t>
  </si>
  <si>
    <t>Urban Handwritten</t>
  </si>
  <si>
    <t>Letterara</t>
  </si>
  <si>
    <t>Thomas Aradea</t>
  </si>
  <si>
    <t>imagens\Urban_Handwritten.png</t>
  </si>
  <si>
    <t>https://www.myfonts.com/pt/collections/urban-handwritten-font-letterara</t>
  </si>
  <si>
    <t>Urban, Brush, Handwritten, Handwritting, Branding, Brand, Natural, Stroke, Logos, Poster, Strong, Modern, Stylish, Flowing, Signature, Casual, Authentic, Dynamic, Unique, Logo, Creative, Typography, Display, Font, Calligraphy, Design, Artistic, Digital, Contemporary, Urban Handwritten, Brush Script, Modern Script, Handwritten Font, Script Typeface, Stylish Font, Creative Script, Natural Flow, Smooth Brush, Authentic Script, Dynamic Typeface, Logo Design, Branding Font, Signature Script, Calligraphy Font, Artistic Typeface, Casual Script, Digital Font, Elegant Script, Unique Handwriting, Display Typeface, Creative Font, Flowing Script, Stylish Typeface</t>
  </si>
  <si>
    <t>MC Jaroh Unique</t>
  </si>
  <si>
    <t>imagens\MC_Jaroh_Unique.png</t>
  </si>
  <si>
    <t>https://www.myfonts.com/pt/collections/mc-jaroh-unique-font-maulana-creative</t>
  </si>
  <si>
    <t>Decorative Font, Hand Drawn, Vintage Style, Playful Display, Quirky Font, Fun Font, Modern Rustic, Creative Projects, Social Media Graphics, Children's Designs, Outdoor Theme, Lifestyle Content, Multilingual Support, Font Family, Distinct Character, Eye-catching, Brush Font, Modern, Distressed, Logotype, Designer, Commercial Font, Street Style, Maulana Creative, Graphic Design, Design Element, Paint Stroke, Expressive, Digital Font, Creative Project</t>
  </si>
  <si>
    <t>Grivon</t>
  </si>
  <si>
    <t>Matra Creative</t>
  </si>
  <si>
    <t>May Adifarzan muis</t>
  </si>
  <si>
    <t>imagens\Grivon.png</t>
  </si>
  <si>
    <t>https://www.myfonts.com/pt/collections/grivon-font-matra-creative</t>
  </si>
  <si>
    <t>GrivonFont, VariableFont, ModernTypography, SansSerif, FontDesign, TypographyDesign, CustomFont, CreativeTypeface, FontInspiration, TypographyLove, GrivonSans, GrivonStyle, MadeWithGrivon, GrivonWorks, FontWithFlex, ShapeYourText, TypeWithStyle, DesignWithGrivon, GrivonVariable</t>
  </si>
  <si>
    <t>Noreva</t>
  </si>
  <si>
    <t>imagens\Noreva.png</t>
  </si>
  <si>
    <t>https://www.myfonts.com/pt/collections/noreva-font-jafar07</t>
  </si>
  <si>
    <t>Sans-serif, Bold, Geometric, Modern, Branding, Packaging, Logo, Minimalist, Strong, Start-up, Bussines Card, Font, Magazine, Website, Headlines</t>
  </si>
  <si>
    <t>MC Phocini</t>
  </si>
  <si>
    <t>imagens\MC_Phocini.png</t>
  </si>
  <si>
    <t>https://www.myfonts.com/pt/collections/mc-phocini-font-maulana-creative</t>
  </si>
  <si>
    <t>Hand Drawn Font, Unique Font, Display Font, Creative Font, Maulana Creative, Typography, Beach Theme, Summer Font, Tropical Font, Artistic Font, Custom Font, Font Design, Graphic Design, Branding Font, Poster Font, Headline Font, Decorative Font, Playful Font, Casual Font, Warm Font, Organic Font, Lettering, Logotype, Visual Identity, Design Inspiration, Creative Typography, Digital Art, Palm Trees, Ocean, Beach, Travel, Vacation, Holiday, Modern Font, Versatile Font, All Caps Font, Ligatures, Alternate Styles, Support, Packaging Design</t>
  </si>
  <si>
    <t>Ransom Pixel</t>
  </si>
  <si>
    <t>Edignwn Type</t>
  </si>
  <si>
    <t>Edi Gunawan</t>
  </si>
  <si>
    <t>imagens\Ransom_Pixel.png</t>
  </si>
  <si>
    <t>https://www.myfonts.com/pt/collections/ransom-pixel-font-edignwn-type</t>
  </si>
  <si>
    <t>Pixel Font, Ransom Font, Display Typeface, Retro Gaming, 8-bit Font, Pixel Ransom, Glitch Font, Digital Nostalgia, Retro Pixel, Experimental Type, Bold Pixel, Retro Tech, Edignwn</t>
  </si>
  <si>
    <t>Lockride</t>
  </si>
  <si>
    <t>Bale Type</t>
  </si>
  <si>
    <t>Dzikrul Aulia</t>
  </si>
  <si>
    <t>imagens\Lockride.png</t>
  </si>
  <si>
    <t>https://www.myfonts.com/pt/collections/lockride-font-bale-type</t>
  </si>
  <si>
    <t>Organic, Vintage, Sans Fonts, Script Fonts, Modern Fonts, Handmade, Hand Lettering, Logotype, Sans, Logo, Branding, Classic, Hand Drawn, Retro, Rough, Rough Fonts, Hipster, Hipster Fonts, Premade Logo, Lettering, Dingbats, Outdoor, Camping, Bold Fonts, Elegant, Magazine, Classy, Fashion, Fashionable, Fashion Fonts, Poster, Cool Fonts, Strong, 60s, 70s, 80s, Font Duo, Duo, Golf, Golf Fonts</t>
  </si>
  <si>
    <t>Black Editorial Script</t>
  </si>
  <si>
    <t>imagens\Black_Editorial_Script.png</t>
  </si>
  <si>
    <t>https://www.myfonts.com/pt/collections/black-editorial-script-font-letterfreshstudio</t>
  </si>
  <si>
    <t>Font, Elegant Font, Handmade Font, Hand, Vintage, Branding, Posters, Modern, Modern Font, Script Font, Casual, Visual, Magaziness, Wedding, Cards, Qoutes, New, Typeface, Bold, Retro</t>
  </si>
  <si>
    <t>Majestic Vision</t>
  </si>
  <si>
    <t>imagens\Majestic_Vision.png</t>
  </si>
  <si>
    <t>https://www.myfonts.com/pt/collections/majestic-vision-font-jafar07</t>
  </si>
  <si>
    <t>Retro, Modern, Bold, Sans-serif, Branding, Magazine, Headlines, Display, Strong, Packaging, Editorial, Creative, Font Family, Typeface</t>
  </si>
  <si>
    <t>Rocket Thunder</t>
  </si>
  <si>
    <t>Blankids</t>
  </si>
  <si>
    <t>Bangkit Tri Setiadi</t>
  </si>
  <si>
    <t>imagens\Rocket_Thunder.png</t>
  </si>
  <si>
    <t>https://www.myfonts.com/pt/collections/rocket-thunder-font-blankids</t>
  </si>
  <si>
    <t>Vintage, Retro, Signage, Bikers, Motorcycle, Poster, Display, Combination Font, Duo Font, Script, Serif, Artsy, Handmade, Craft, Rustic, Rugged, Grunge, Textured</t>
  </si>
  <si>
    <t>Portrait Midnight</t>
  </si>
  <si>
    <t>imagens\Portrait_Midnight.png</t>
  </si>
  <si>
    <t>https://www.myfonts.com/pt/collections/portrait-midnight-font-timelesstype-studio</t>
  </si>
  <si>
    <t>Modern Serif Font, Luxury, Serif, Brand, Logo, Modern Font, Elegant, Fashion, Web, Trend, Website, Promo, Promotion</t>
  </si>
  <si>
    <t>Corpta</t>
  </si>
  <si>
    <t>Pandeka Studio</t>
  </si>
  <si>
    <t>Sagara Nararya</t>
  </si>
  <si>
    <t>imagens\Corpta.png</t>
  </si>
  <si>
    <t>https://www.myfonts.com/pt/collections/corpta-font-pandeka-studio</t>
  </si>
  <si>
    <t>Futuristic Font, Tech Modern, Sci-fi Typeface, Cyber Display, Digital Font, Esports Typography, Gaming Font, Techno Inspired, Sharp Lettering, Cyberpunk Vibe, Innovative Font, Futuristic Design, Sci-fi Style, Tech Aesthetic, Bold Display, Futuristic Logo Font, Tech Branding, Hi-tech Font, Sleek Modern, Cutting-edge, Cyber Style, Robotic Typeface, Headline Font, Futuristic Poster Font, Modern Display, Ai Inspired, Space Vibe, Neon Typography, Tech Identity, Futuristic Branding</t>
  </si>
  <si>
    <t>MC Woodeezt</t>
  </si>
  <si>
    <t>imagens\MC_Woodeezt.png</t>
  </si>
  <si>
    <t>https://www.myfonts.com/pt/collections/mc-woodeezt-font-maulana-creative</t>
  </si>
  <si>
    <t>Font, Display Font, Playful Font, Creative Font, Bold Font, Unique Font, Custom Font, Typography, Typeface, Graphic Design, Design Element, Branding, Logo Design, Poster Design, Headline Font, Decorative Font, Hand Drawn, Textured, Vintage Style, Rustic, Wooden Texture, Wood Inspired, Adventure, Playful Display, Quirky Font, Fun Font, Modern Rustic, Handcrafted, Creative Projects, Exploration, Nature Themed, Lifestyle Content, Eye-catching, Artistic, Multilingual Support</t>
  </si>
  <si>
    <t>Design Spirit</t>
  </si>
  <si>
    <t>imagens\Design_Spirit.png</t>
  </si>
  <si>
    <t>https://www.myfonts.com/pt/collections/design-spirit-font-shape-studio</t>
  </si>
  <si>
    <t>Sans Serif, Wedding, Cards, Logos, Vintage</t>
  </si>
  <si>
    <t>Micky Rinse</t>
  </si>
  <si>
    <t>imagens\Micky_Rinse.png</t>
  </si>
  <si>
    <t>https://www.myfonts.com/pt/collections/micky-rinse-font-alit-design</t>
  </si>
  <si>
    <t>Blackletter, Tattoo, Hero, Fantasy, Script</t>
  </si>
  <si>
    <t>ATP Dreamies</t>
  </si>
  <si>
    <t>Typeparties</t>
  </si>
  <si>
    <t>Thufail Al ghifary</t>
  </si>
  <si>
    <t>imagens\ATP_Dreamies.png</t>
  </si>
  <si>
    <t>https://www.myfonts.com/pt/collections/atp-dreamies-font-typeparties</t>
  </si>
  <si>
    <t>Typeface, Font, Display Font, Editorial Font, HandwrittenScript, Handwritten Script, Script Font, Script, Handwritten Font, Modern Script, Retro Font, Logo Type, Vintage Font, Wedding Font, Brush Script, Edgy Handwritten, Textured Script, Modern Handwritten, Vintage Script, Cursive Font, Modern Calligraphy, Signature Font, Branding Font, Poster, Poster Font, Editorial, Headline, Headline Font, Elegant Font, Luxury Branding Font</t>
  </si>
  <si>
    <t>Tuto</t>
  </si>
  <si>
    <t>Golovin Fonts</t>
  </si>
  <si>
    <t>Stas Golovin</t>
  </si>
  <si>
    <t>imagens\Tuto.png</t>
  </si>
  <si>
    <t>https://www.myfonts.com/pt/collections/tuto-font-golovin-fonts</t>
  </si>
  <si>
    <t>Display, Rounded, Bold, Playful, Friendly, Organic, Hand-drawn, Soft, Cartoon, Fun, Cheerful, Kids, Educational, Creative, Informal, Warm, Poster, Headline, Logo, Packaging, Book, Children’s Book, Social Media, Branding</t>
  </si>
  <si>
    <t>Blocksmith Varsity</t>
  </si>
  <si>
    <t>imagens\Blocksmith_Varsity.png</t>
  </si>
  <si>
    <t>https://www.myfonts.com/pt/collections/blocksmith-varsity-font-dm-studio</t>
  </si>
  <si>
    <t>Block Varsity Font, College Varsity Letters, Sports Display Font, Athletic Team Font, Bold Varsity Typeface, High School Font, Championship Lettering, Retro Varsity Logo Font, Jersey Number Font, Cricut Varsity Font, Sportswear Branding Font, Collegiate Font, Varsity Serif Font, Classic Sports Font, All Caps Block Font, Team Spirit Font, Old School Varsity Letters, Thick Display Font, Letterman Jacket Font, Strong Athletic Font</t>
  </si>
  <si>
    <t>Blocksmith</t>
  </si>
  <si>
    <t>imagens\Blocksmith.png</t>
  </si>
  <si>
    <t>https://www.myfonts.com/pt/collections/blocksmith-font-dm-studio</t>
  </si>
  <si>
    <t>AT Landesan</t>
  </si>
  <si>
    <t>ArimaType</t>
  </si>
  <si>
    <t>Amri Mauludin</t>
  </si>
  <si>
    <t>imagens\AT_Landesan.png</t>
  </si>
  <si>
    <t>https://www.myfonts.com/pt/collections/at-landesan-font-arimatype</t>
  </si>
  <si>
    <t>Serif Display, Playful Typography, Casual Serif Font, Postmodern Typeface, Unique Serif Display, Creative Branding Font, Editorial Typography, Bold Serif Font, Experimental Typeface, Album Cover Font, Poster Typeface, Music Typography, Film Typography, Product Branding Font, Title Typeface, Modern Serif, Artistic Display Font, Versatile Serif Typeface, Graphic Design Font, Trendy Serif Display, Contemporary Serif, Family Serif Fonts, Alternatives Serif, Ligatures Serif</t>
  </si>
  <si>
    <t>Tuncho Plonko</t>
  </si>
  <si>
    <t>Shanaf</t>
  </si>
  <si>
    <t>Yesie Erma Yunita</t>
  </si>
  <si>
    <t>imagens\Tuncho_Plonko.png</t>
  </si>
  <si>
    <t>https://www.myfonts.com/pt/collections/tuncho-plonko-font-shanaf</t>
  </si>
  <si>
    <t>Bold, Font, Handwriting, Fun, Playful, Food, Noodle, Kids, Logo, Poster, Branding, Rounded, Thick, Casual, Cheer, Headline, Display, Cute, Happy, Sticker, Cover, Magazine, Craft, Friendly, Business</t>
  </si>
  <si>
    <t>Restone Block</t>
  </si>
  <si>
    <t>Saemoon Creative</t>
  </si>
  <si>
    <t>Sapto Susilo</t>
  </si>
  <si>
    <t>imagens\Restone_Block.png</t>
  </si>
  <si>
    <t>https://www.myfonts.com/pt/collections/restone-block-font-saemoon-creative</t>
  </si>
  <si>
    <t>Display, Serif, Bold, Heavy, Modern, Headline, Branding, Logo, Poster, Packaging, Advertising, Editorial, Magazine, Title, Fashion, Sport, Chunky, Block, Slab Serif</t>
  </si>
  <si>
    <t>Defiled Doomed</t>
  </si>
  <si>
    <t>imagens\Defiled_Doomed.png</t>
  </si>
  <si>
    <t>https://www.myfonts.com/pt/collections/defiled-doomed-font-bayuktx</t>
  </si>
  <si>
    <t>Horror, Halloween, Scary, Font, Creepy, Typeface, Playful, Spooky, Mystery, Movie, Poster, Typography, Party, Ghost, Funny, Cartoon, Flyer, Modern, Cute, Adventure, Display Font, Decorative, Comics, Quirky, Funky, Title, Branding, Kids, October, Invitation, Joyful, Games, Movies, Thriller</t>
  </si>
  <si>
    <t>Funky Hollow</t>
  </si>
  <si>
    <t>imagens\Funky_Hollow.png</t>
  </si>
  <si>
    <t>https://www.myfonts.com/pt/collections/funky-hollow-font-dm-studio</t>
  </si>
  <si>
    <t>Funky Hollow Font, Double Outline Font, Mix Style Display Font, Retro Funky Font, Groovy Hollow Letters, Playful Outline Font, Bold Display Font, Quirky Hollow Font, Funky Streetwear Font, Hollow Retro Font, Double Line Font, Creative Mix Font, Cartoon Hollow Font, Funky Logo Font, Bold Outlined Letters, Retro Headline Font, Cricut Funky Font, Groovy Poster Font, Vibrant Funky Typeface, Fun Double Display Font</t>
  </si>
  <si>
    <t>Marca de alimentos</t>
  </si>
  <si>
    <t>imagens\Marca_de_alimentos.png</t>
  </si>
  <si>
    <t>https://www.myfonts.com/pt/collections/food-brand-font-nirmana-visual</t>
  </si>
  <si>
    <t>Food, Branding, Stylish, Bold, Cafe, Restaurant, Culinary, Menus, Logo, Packaging, Poster, Coffee Shop</t>
  </si>
  <si>
    <t>Sunny Chunk</t>
  </si>
  <si>
    <t>imagens\Sunny_Chunk.png</t>
  </si>
  <si>
    <t>https://www.myfonts.com/pt/collections/sunny-chunk-font-pandeka-studio</t>
  </si>
  <si>
    <t>Groovy Font, Bold Display, Retro Modern, Chunky Typeface, Playful Bold, Funky Lettering, Headline Font, Poster Font, Packaging Font, Music Cover Font, Street Style, Urban Typography, Impactful, Groovy Vibe, Creative Ligatures, Fun Display, Funky Retro, Bold Modern, Expressive Font, Statement Typography, Stylish Font, Funky Design, Groovy Bold, Attention-grabbing, Modern Retro Vibe, Artistic Font, Cool Display, Funky Headline, Modern Groovy, Retro Inspired</t>
  </si>
  <si>
    <t>Arctos Sans</t>
  </si>
  <si>
    <t>imagens\Arctos_Sans.png</t>
  </si>
  <si>
    <t>https://www.myfonts.com/pt/collections/arctos-sans-font-ghozai-studio</t>
  </si>
  <si>
    <t>Bold, Full Family, Display, Headline, Sans Serif, Sport, Tall, Heavy, Impact, Sleek, Branding, Signage, Editorial, Strong</t>
  </si>
  <si>
    <t>Matcah</t>
  </si>
  <si>
    <t>Khoir</t>
  </si>
  <si>
    <t>Muhammad Romzul Khoir</t>
  </si>
  <si>
    <t>imagens\Matcah.png</t>
  </si>
  <si>
    <t>https://www.myfonts.com/pt/collections/matcah-font-khoir</t>
  </si>
  <si>
    <t>Bold Font, Display Font, Decorative Font, Modern Font, Sans Serif, Unique, Type, Typeface, Fun, Funky, Playful, Black, Bold Type, Bold Display, Condensend, Hipster Font, Cover, Logo Font, Branding, Sans, Poster, Magazine, Powerful, Urban, Advertising, Packaging, Food and Beverage, Corporate, Editorial, Film, Friendly, Summer, Beach, Travel, Seafood, Invitation, Menu, Matcha, Signage, Nautical, Coastal, Tropical, Drinks, Canned Drinks, Party, Charming, Artisan, Authentic, T Shirt, Croissant, Run, Vintage, Groovy</t>
  </si>
  <si>
    <t>Byte Sans</t>
  </si>
  <si>
    <t>AlperCakici</t>
  </si>
  <si>
    <t>Alper Çakıcı</t>
  </si>
  <si>
    <t>Oct 15, 2025</t>
  </si>
  <si>
    <t>imagens\Byte_Sans.png</t>
  </si>
  <si>
    <t>https://www.myfonts.com/pt/collections/byte-sans-font-alpercakici</t>
  </si>
  <si>
    <t>Pixel, Game, Title, Byte, Unity, Multilingual, Cyrillic, Русский, Кириллица, Russian, Ukrainian, 8 Bit, Retro, Pixelart, Computer, Grid, Gaming, Modern, Digital, NES</t>
  </si>
  <si>
    <t>Amu</t>
  </si>
  <si>
    <t>imagens\Amu.png</t>
  </si>
  <si>
    <t>https://www.myfonts.com/pt/collections/amu-font-kufic-studio</t>
  </si>
  <si>
    <t>Amu Font, Afghanistan, Afghan Font, San Serif Font, Classic Font, Minimalist Font, Designer Font, Readable Font, Modern Font, Clean Typeface, High Readability Font, 7 Weight Sans Serif Family, Distorted Headline Typeface, Distorted Font, Double Line Font, Doutline Font, Duo Font, Shadow Sans Serif, Scribble Font Style, Versatile Branding Font</t>
  </si>
  <si>
    <t>Epical Roman</t>
  </si>
  <si>
    <t>Zaain Type</t>
  </si>
  <si>
    <t>Ju Naen</t>
  </si>
  <si>
    <t>imagens\Epical_Roman.png</t>
  </si>
  <si>
    <t>https://www.myfonts.com/pt/collections/epical-roman-font-zaain-type</t>
  </si>
  <si>
    <t>Advertising, Book, Branding, Business, Casual, Decorative, Display, Elegant, Classi, Headline, Logo, Magazine, Modern, Social Media, Stylist, Title, Web Font, Packaging, Clothing, Stylish</t>
  </si>
  <si>
    <t>Temporal Hidden</t>
  </si>
  <si>
    <t>imagens\Temporal_Hidden.png</t>
  </si>
  <si>
    <t>https://www.myfonts.com/pt/collections/temporal-hidden-font-tini-fitriani</t>
  </si>
  <si>
    <t>Script, Handwritting, Vintage, Nostalgic, Vintage Script, Hippie, Classic, Summer, Wedding, Beauty Font, Fancy, Minimalist, Unique, Romantic, Cursive, Hand Lettered Font, Modern Fonts, Elegant Fonts, Stylish Font, Collection Font</t>
  </si>
  <si>
    <t>Brutelo</t>
  </si>
  <si>
    <t>Burntilldead</t>
  </si>
  <si>
    <t>Eric Kurniawan</t>
  </si>
  <si>
    <t>imagens\Brutelo.png</t>
  </si>
  <si>
    <t>https://www.myfonts.com/pt/collections/brutelo-font-burntilldead</t>
  </si>
  <si>
    <t>Neo Brutalism, Brutalist Font, Geometric Font, Modern Display Font, Modern Font, Display Font, Bold Typeface, Retro Modern, Retro Font, Quirky Font, Poster Font, Sans Serif Font, Modern Sans Serif, Logo Font, Clean Font, Fun Font, Branding Font, Brutalism Style, Minimalist Font, Editorial Font</t>
  </si>
  <si>
    <t>Dark Christmas</t>
  </si>
  <si>
    <t>imagens\Dark_Christmas.png</t>
  </si>
  <si>
    <t>https://www.myfonts.com/pt/collections/dark-christmas-font-yoga-letter</t>
  </si>
  <si>
    <t>Christmas, Graffiti, Banner, Poster, Print, Branding, Tattoo, Winter, Halloween</t>
  </si>
  <si>
    <t>Kashtani</t>
  </si>
  <si>
    <t>imagens\Kashtani.png</t>
  </si>
  <si>
    <t>https://www.myfonts.com/pt/collections/kashtani-font-burntilldead</t>
  </si>
  <si>
    <t>Art Deco Font, Display Font, Retro Font, Vintage Font, Elegant Font, Geometric Font, Deco Style, Modern Retro, Headline Font, Poster Font, Logo Font, Title Font, Stylish Font, Decorative Font, Outline Font, Extrude Font, Oblique Font, Bold Display Font</t>
  </si>
  <si>
    <t>Migumono</t>
  </si>
  <si>
    <t>imagens\Migumono.png</t>
  </si>
  <si>
    <t>https://www.myfonts.com/pt/collections/migumono-font-bentype</t>
  </si>
  <si>
    <t>Mono, Monospace, Modern, Minimalist, Bitmap Font, Tech Font, Modular</t>
  </si>
  <si>
    <t>Cantino</t>
  </si>
  <si>
    <t>imagens\Cantino.png</t>
  </si>
  <si>
    <t>https://www.myfonts.com/pt/collections/cantino-font-burntilldead</t>
  </si>
  <si>
    <t>Western Font, Cowboy Font, Cowboy Typeface, Vintage Font, Wild West Font, Rustic Typography, Saloon Font, Display Font, Retro Typeface, Bold Font, Serif Font, Rodeo Poster, Poster, Western Logo, Adventure Font, Barbershop, Cowboy Design</t>
  </si>
  <si>
    <t>Drace Racing</t>
  </si>
  <si>
    <t>Multype Studio</t>
  </si>
  <si>
    <t>Mulia Yanto</t>
  </si>
  <si>
    <t>imagens\Drace_Racing.png</t>
  </si>
  <si>
    <t>https://www.myfonts.com/pt/collections/drace-racing-font-multype-studio</t>
  </si>
  <si>
    <t>Racing Font, Sport Font, Bold Display Font, Speed Typeface, Dynamic Racing Font, Aggressive Font Style, Motocross Font, Car Racing Typography, Drag Racing Typeface, Fast Logo Font, Sports Branding Font, Performance Font, Modern Racing Font, Automotive Logo Font, Motorsport Typeface, Extreme Sports Typography, Sharp Racing Typeface, Energy Display Font, Adrenaline Design Font, Racing Poster Font</t>
  </si>
  <si>
    <t>Montrica Display</t>
  </si>
  <si>
    <t>FoxType</t>
  </si>
  <si>
    <t>Evin Tony</t>
  </si>
  <si>
    <t>imagens\Montrica_Display.png</t>
  </si>
  <si>
    <t>https://www.myfonts.com/pt/collections/montrica-display-font-foxtype</t>
  </si>
  <si>
    <t>Branding Font, Bold Typeface, Foxtype Fonts, Sansserif Font, Premium, Poster Typeface, Display Typeface, Flyer Font, Headline, Big Font</t>
  </si>
  <si>
    <t>Genaron</t>
  </si>
  <si>
    <t>Digitype Studio</t>
  </si>
  <si>
    <t>Yusuf Niky Syahroni</t>
  </si>
  <si>
    <t>imagens\Genaron.png</t>
  </si>
  <si>
    <t>https://www.myfonts.com/pt/collections/genaron-font-digitype-studio</t>
  </si>
  <si>
    <t>Condensed, Expanded, Bold, Black, Modern, Branding, Editorial, Poster, Logo, Display, Oblique, Headline, Packaging, Fashion, Game, Strong, Sport, Energy, Power, Impact</t>
  </si>
  <si>
    <t>Spritely Hand</t>
  </si>
  <si>
    <t>Kevin Foley Fonts</t>
  </si>
  <si>
    <t>Kevin Foley</t>
  </si>
  <si>
    <t>Oct 14, 2025</t>
  </si>
  <si>
    <t>imagens\Spritely_Hand.png</t>
  </si>
  <si>
    <t>https://www.myfonts.com/pt/collections/spritely-hand-font-kevin-foley-fonts</t>
  </si>
  <si>
    <t>Hand Drawn, Condensed Sans, Display, Organic, Elegant Sans, Branding, Packaging, Logo Design, Headline, Wedding, Warm, Sophisticated, Approachable, Handcrafted, Casual, Small Business, Contemporary, Artisan, Cursive, Boutique</t>
  </si>
  <si>
    <t>FTT-Tsuku RMMin E</t>
  </si>
  <si>
    <t>Fontworks</t>
  </si>
  <si>
    <t>https://www.myfonts.com/pt/collections/ftt-tsuku-rmmin-e-font-fontworks</t>
  </si>
  <si>
    <t>FTT-Tsuku FVintage Min S RT</t>
  </si>
  <si>
    <t>https://www.myfonts.com/pt/collections/ftt-tsuku-fvintage-min-s-rt-font-fontworks</t>
  </si>
  <si>
    <t>FTT-Tsuku Old Gothic EL</t>
  </si>
  <si>
    <t>https://www.myfonts.com/pt/collections/ftt-tsuku-old-gothic-el-font-fontworks</t>
  </si>
  <si>
    <t>FTT-Greco DB</t>
  </si>
  <si>
    <t>https://www.myfonts.com/pt/collections/ftt-greco-db-font-fontworks</t>
  </si>
  <si>
    <t>Murisa Lupe</t>
  </si>
  <si>
    <t>Murisa Studio</t>
  </si>
  <si>
    <t>Lili Sadili</t>
  </si>
  <si>
    <t>imagens\Murisa_Lupe.png</t>
  </si>
  <si>
    <t>https://www.myfonts.com/pt/collections/murisa-lupe-font-murisa-studio</t>
  </si>
  <si>
    <t>Murisa Lupe, Spooky Font, Dripping Letters, Halloween Typeface, Creepy Typography, Horror Font, Unique Font, Scary Style, Gooey Design, Bold Display, Artistic Font, Edgy Letters, Haunted Vibe, Dark Aesthetic, Gothic Font, Eerie Alphabet, Premium Font, Collector Font, Stylized Type, Creative Lettering, Mysterious Font, Melting Effect, Cartoon Horror, Playful Spooky, Statement Font, Designer Font, Eye-catching Font, Weird Font, Alternative Style, Supernatural Vibe, Ghostly Letters, Monster Font, Fantasy Font, Twisted Design, Nightmare Font, Bold Branding, Standout Font, Expressive Type, Visual Impact, Limited Edition Font, Rare Font, High-end Typeface, Dramatic Font, Immersive Design, Spooky Chic, Haunted Elegance, Dripping Style, Horror Chic, Creepy Cool, Unforgettable Font</t>
  </si>
  <si>
    <t>Nadzia</t>
  </si>
  <si>
    <t>Phoenix Group</t>
  </si>
  <si>
    <t>Alif Naufal Muzakki</t>
  </si>
  <si>
    <t>imagens\Nadzia.png</t>
  </si>
  <si>
    <t>https://www.myfonts.com/pt/collections/nadzia-font-phoenix-group</t>
  </si>
  <si>
    <t>Nadzia Font, Handwriting Font, Script Typeface, Modern Calligraphy, Elegant Script, Signature Font, Stylish Handwriting, Casual Script Font, Wedding Invitation Font, Greeting Card Font, Romantic Typeface, Minimalist Script, Elegant Handwriting Font, Organic Script Font, Modern Handwritten Typeface, Authentic Handwriting, Natural Script Typeface, Feminine Script Font, Delicate Handwriting, Emotional Script Font, Love Letter Font, Personal Expression Typeface, Intimate Script, Warm Handwriting Font, Chic Script Typeface, Calligraphy Inspired Font, Modern Romantic Font, Soft Handwriting Typeface, Stylish Branding Script, Elegant Logo Font</t>
  </si>
  <si>
    <t>FTT-Utrillo DB</t>
  </si>
  <si>
    <t>https://www.myfonts.com/pt/collections/ftt-utrillo-db-font-fontworks</t>
  </si>
  <si>
    <t>FOT-Tsuku Old Gothic Std</t>
  </si>
  <si>
    <t>https://www.myfonts.com/pt/collections/fot-tsuku-old-gothic-std-font-fontworks</t>
  </si>
  <si>
    <t>FTT-SMatisse EB</t>
  </si>
  <si>
    <t>https://www.myfonts.com/pt/collections/ftt-smatisse-eb-font-fontworks</t>
  </si>
  <si>
    <t>FTT-SCezanne DB</t>
  </si>
  <si>
    <t>https://www.myfonts.com/pt/collections/ftt-scezanne-db-font-fontworks</t>
  </si>
  <si>
    <t>FTT-SPRodin DB</t>
  </si>
  <si>
    <t>https://www.myfonts.com/pt/collections/ftt-sprodin-db-font-fontworks</t>
  </si>
  <si>
    <t>FTT-NPMatisse EB</t>
  </si>
  <si>
    <t>https://www.myfonts.com/pt/collections/ftt-npmatisse-eb-font-fontworks</t>
  </si>
  <si>
    <t>FTT-NCezanne EB</t>
  </si>
  <si>
    <t>https://www.myfonts.com/pt/collections/ftt-ncezanne-eb-font-fontworks</t>
  </si>
  <si>
    <t>FTT-SRodin DB</t>
  </si>
  <si>
    <t>https://www.myfonts.com/pt/collections/ftt-srodin-db-font-fontworks</t>
  </si>
  <si>
    <t>FTT-NRodin EB</t>
  </si>
  <si>
    <t>https://www.myfonts.com/pt/collections/ftt-nrodin-eb-font-fontworks</t>
  </si>
  <si>
    <t>FOT-Rodin Pro N</t>
  </si>
  <si>
    <t>https://www.myfonts.com/pt/collections/fot-rodin-pro-n-font-fontworks</t>
  </si>
  <si>
    <t>FOT-Cezanne Pro</t>
  </si>
  <si>
    <t>https://www.myfonts.com/pt/collections/fot-cezanne-pro-font-fontworks</t>
  </si>
  <si>
    <t>FTT-Railway B</t>
  </si>
  <si>
    <t>https://www.myfonts.com/pt/collections/ftt-railway-b-font-fontworks</t>
  </si>
  <si>
    <t>FTT-SPMatisse DB</t>
  </si>
  <si>
    <t>https://www.myfonts.com/pt/collections/ftt-spmatisse-db-font-fontworks</t>
  </si>
  <si>
    <t>FTT-Rampart EB</t>
  </si>
  <si>
    <t>https://www.myfonts.com/pt/collections/ftt-rampart-eb-font-fontworks</t>
  </si>
  <si>
    <t>FTT-NMatisse DB</t>
  </si>
  <si>
    <t>https://www.myfonts.com/pt/collections/ftt-nmatisse-db-font-fontworks</t>
  </si>
  <si>
    <t>FTT-NPRodin EB</t>
  </si>
  <si>
    <t>https://www.myfonts.com/pt/collections/ftt-nprodin-eb-font-fontworks</t>
  </si>
  <si>
    <t>FOT-Cezanne Pro N</t>
  </si>
  <si>
    <t>https://www.myfonts.com/pt/collections/fot-cezanne-pro-n-font-fontworks</t>
  </si>
  <si>
    <t>Sticky Lollipop</t>
  </si>
  <si>
    <t>Ian Barnard</t>
  </si>
  <si>
    <t>imagens\Sticky_Lollipop.png</t>
  </si>
  <si>
    <t>https://www.myfonts.com/pt/collections/sticky-lollipop-font-ian-barnard</t>
  </si>
  <si>
    <t>Handwritten Font, Display Typeface, Chinagraph Pencil, Textured Font, Kids Font, Sweet Font, Candy Typeface, Illustrator Font, Inky Style, Whimsical Font, Nostalgic Type, Retro Font, Greeting Card Font, Logo Font, Branding Font, Playful Font, Display Font, Children's Book Font, Waxy Lettering, Poster Design</t>
  </si>
  <si>
    <t>Mystery Halloween</t>
  </si>
  <si>
    <t>imagens\Mystery_Halloween.png</t>
  </si>
  <si>
    <t>https://www.myfonts.com/pt/collections/mystery-halloween-font-brown-cupple-typeface</t>
  </si>
  <si>
    <t>Horror, Halloween, Blood, Creepy, Dark, Distressed, Evil, Ghost, Gothic, Scary, Spooky, Thriller, Zombie</t>
  </si>
  <si>
    <t>The Maddoniy</t>
  </si>
  <si>
    <t>Mars Creative</t>
  </si>
  <si>
    <t>Al Muzammil</t>
  </si>
  <si>
    <t>imagens\The_Maddoniy.png</t>
  </si>
  <si>
    <t>https://www.myfonts.com/pt/collections/the-maddoniy-font-mars-creative</t>
  </si>
  <si>
    <t>Branding Font, Calligraphy Font, Black Font, Thick Font, Thick Black, Logo, Modern Font, Free Font, Font, Beautiful Font, Banner Fonts</t>
  </si>
  <si>
    <t>Classy Exclusive</t>
  </si>
  <si>
    <t>Say Studio</t>
  </si>
  <si>
    <t>Mussyayin</t>
  </si>
  <si>
    <t>imagens\Classy_Exclusive.png</t>
  </si>
  <si>
    <t>https://www.myfonts.com/pt/collections/classy-exclusive-font-vermilione</t>
  </si>
  <si>
    <t>Classy Font, Luxury Font, Luxurious Font, Italic Font, Serif Font, Script Font, Branding Font, Wedding Font, Elegant Font, Elegant Script, Modern Font, Luxury Italic, Classy Italic, Serif Italic, Premium Font, Aesthetic Font, Stylish Font, Logo Font, Decorative Font, Timeless Font</t>
  </si>
  <si>
    <t>Moriel</t>
  </si>
  <si>
    <t>imagens\Moriel.png</t>
  </si>
  <si>
    <t>https://www.myfonts.com/pt/collections/moriel-font-stringlabs-creative-studio</t>
  </si>
  <si>
    <t>Bold, Brush, Calligraphy, Handlettering, Handwritten, Handwritting, Textured, Logotype, Branding, Stylish, Display, Typeface, Brushfont</t>
  </si>
  <si>
    <t>Martion</t>
  </si>
  <si>
    <t>imagens\Martion.png</t>
  </si>
  <si>
    <t>https://www.myfonts.com/pt/collections/martion-font-mars-creative</t>
  </si>
  <si>
    <t>FTT-IDKakugo LV_Small M</t>
  </si>
  <si>
    <t>https://www.myfonts.com/pt/collections/ftt-idkakugo-lv-small-m-font-fontworks</t>
  </si>
  <si>
    <t>FTT-NPCezanne DB</t>
  </si>
  <si>
    <t>https://www.myfonts.com/pt/collections/ftt-npcezanne-db-font-fontworks</t>
  </si>
  <si>
    <t>FTT-SPCezanne EB</t>
  </si>
  <si>
    <t>https://www.myfonts.com/pt/collections/ftt-spcezanne-eb-font-fontworks</t>
  </si>
  <si>
    <t>FTT-IDKakugo SC_Small M</t>
  </si>
  <si>
    <t>https://www.myfonts.com/pt/collections/ftt-idkakugo-sc-small-m-font-fontworks</t>
  </si>
  <si>
    <t>Eisenhardt Pro</t>
  </si>
  <si>
    <t>Inviline</t>
  </si>
  <si>
    <t>imagens\Eisenhardt_Pro.png</t>
  </si>
  <si>
    <t>https://www.myfonts.com/pt/collections/eisenhardt-pro-font-inviline</t>
  </si>
  <si>
    <t>Blackletter, Gothic, Horror, Medieval, Modern, Bold, Fantasy, Tattoo, Gothic Typeface, Horror Style, Metal, Poster, Lettering, Dark, Vintage, Retro, Logo, Typeface, Branding, Gothic Font</t>
  </si>
  <si>
    <t>Rorenza</t>
  </si>
  <si>
    <t>Dikas Studio</t>
  </si>
  <si>
    <t>Andika Setiawan</t>
  </si>
  <si>
    <t>imagens\Rorenza.png</t>
  </si>
  <si>
    <t>https://www.myfonts.com/pt/collections/rorenza-font-dikas-studio</t>
  </si>
  <si>
    <t>Sans, Elegant, Elegants, Luxury, Minimalist, Aesthetic, Stylish, Branding, Logotype, Logo, Fancy, Fashion, Woman, Female, Retro, Vintage, Display, Hand, Drawn, Rough</t>
  </si>
  <si>
    <t>Terror Blade</t>
  </si>
  <si>
    <t>imagens\Terror_Blade.png</t>
  </si>
  <si>
    <t>https://www.myfonts.com/pt/collections/terror-blade-font-inviline</t>
  </si>
  <si>
    <t>Slasher, Horror, Thriller, Bold, Scary, Killer, Brush, Halloween, Scream, Horror Font, Brush Script, Slasher Typeface, Killer Style, Bloody Text, Thriller Poster, Grunge Font, Scary Headline, Poster, Music, Brush Font</t>
  </si>
  <si>
    <t>Deatom Lettering</t>
  </si>
  <si>
    <t>Gatype</t>
  </si>
  <si>
    <t>khaidir</t>
  </si>
  <si>
    <t>imagens\Deatom_Lettering.png</t>
  </si>
  <si>
    <t>https://www.myfonts.com/pt/collections/deatom-lettering-font-gatype</t>
  </si>
  <si>
    <t>Branding, Unique, Travel, Combination, Commercial, Congratulations, Contemporary, Corporate, Design, Decorative, Stencil, Webfonts, Heading, Fashion, Magazine, Opentype, Modern Style, Shadow, Stationery, Business, Holiday, Classicist, Cuting, Typography, Summer, Legible, Alternates</t>
  </si>
  <si>
    <t>Animauxtiere</t>
  </si>
  <si>
    <t>Designpiraten</t>
  </si>
  <si>
    <t>Markus Strümpel</t>
  </si>
  <si>
    <t>imagens\Animauxtiere.png</t>
  </si>
  <si>
    <t>https://www.myfonts.com/pt/collections/animauxtiere-font-designpiraten</t>
  </si>
  <si>
    <t>Animals, Zoo, Icons, French, German, Learning, Bilingual, Children, School, Education, Fun, Playful, Pictogram</t>
  </si>
  <si>
    <t>Toniva</t>
  </si>
  <si>
    <t>imagens\Toniva.png</t>
  </si>
  <si>
    <t>https://www.myfonts.com/pt/collections/toniva-font-shanaf</t>
  </si>
  <si>
    <t>Geometric Font, Creative Font, Vintage Modern Font, Art Deco Font, Smooth Font, Clean Font, Minimal Font, Elegant Font, Fashion Font, Monoline Font, Modern Font, Retro Font, Logo Font, Branding Font, Display Font, Headline Font, Stylish Font, Magazine Font, Bold Font, Poster Font</t>
  </si>
  <si>
    <t>Murisa DrOz</t>
  </si>
  <si>
    <t>imagens\Murisa_DrOz.png</t>
  </si>
  <si>
    <t>https://www.myfonts.com/pt/collections/murisa-droz-font-murisa-studio</t>
  </si>
  <si>
    <t>Murisa DrOz, Bold Rounded Font, Retro Modern Typeface, Eastern European Language Supp, Premium Display Font, Playful Typography, Vintage-inspired Lettering, High-impact Branding Font, Elegant Curves, Standout Logo Font, Editorial Design Font, Packaging Typography, Creative Headline Font, Timeless Style, Warm and Confident Font, Unique Character Design, Luxury Font Aesthetic, Versatile Typeface, Global-ready Font, Personality-packed Font, Iconic Branding Tool, Design With Soul, Expressive Typography, Signature-style Font, Crafted for Creators, Unforgettable Letterforms, Modern Retro Vibes, Visual Storytelling Font, Charismatic Typeface, Design That Speaks, Font for Visionaries</t>
  </si>
  <si>
    <t>FTT-Cezanne EB</t>
  </si>
  <si>
    <t>https://www.myfonts.com/pt/collections/ftt-cezanne-eb-font-fontworks</t>
  </si>
  <si>
    <t>FTT-Rowdy EB</t>
  </si>
  <si>
    <t>https://www.myfonts.com/pt/collections/ftt-rowdy-eb-font-fontworks</t>
  </si>
  <si>
    <t>Rottingham Decay</t>
  </si>
  <si>
    <t>imagens\Rottingham_Decay.png</t>
  </si>
  <si>
    <t>https://www.myfonts.com/pt/collections/rottingham-decay-font-inviline</t>
  </si>
  <si>
    <t>Horror, Zombie, Scary, Rough, Bold, Decay, Grunge, Thriller, Apocalypse, Splatter, Haunted, Retro, Movie, Texture, Halloween, Brush, Vintage Horror, Horror Font, Scary Font, Spooky Type</t>
  </si>
  <si>
    <t>Bigmoster</t>
  </si>
  <si>
    <t>Product Type</t>
  </si>
  <si>
    <t>Lita Faolina</t>
  </si>
  <si>
    <t>imagens\Bigmoster.png</t>
  </si>
  <si>
    <t>https://www.myfonts.com/pt/collections/bigmoster-font-product-type</t>
  </si>
  <si>
    <t>Mystery, Movie, Devil, Evil, Monster, Ghost, Film, Horror, Title, Zombie, Creepy, Halloween, Thriller, Poster, Cinematic, Cute, Alien, Fun, Character, Mascot</t>
  </si>
  <si>
    <t>Bleed Out</t>
  </si>
  <si>
    <t>Pixesia Studio</t>
  </si>
  <si>
    <t>Abul Almaududi</t>
  </si>
  <si>
    <t>imagens\Bleed_Out.png</t>
  </si>
  <si>
    <t>https://www.myfonts.com/pt/collections/bleed-out-font-pixesia-studio</t>
  </si>
  <si>
    <t>Handdrawn, Horror, Blood, Dripping, Blood Font, Ripping Font, October, Display Font, Movie, Film, Monster, Scary, Spooky, Terror, Hand-lettered, Type, Cool, Drawn, Decorative, Hollywood</t>
  </si>
  <si>
    <t>Heart Fade</t>
  </si>
  <si>
    <t>imagens\Heart_Fade.png</t>
  </si>
  <si>
    <t>https://www.myfonts.com/pt/collections/heart-fade-font-shanaf</t>
  </si>
  <si>
    <t>Love, Font, Valentine, Romantic, Playful, Quirky, Cute, Heart, Wedding, Greeting Card, Sweet, Headline, Bold, Decorative, Invitation, Logo, Branding, Poster, Sticker, Magazine, Book, Cover, Retro, Event</t>
  </si>
  <si>
    <t>MC Ketto Kokka</t>
  </si>
  <si>
    <t>imagens\MC_Ketto_Kokka.png</t>
  </si>
  <si>
    <t>https://www.myfonts.com/pt/collections/mc-ketto-kokka-font-maulana-creative</t>
  </si>
  <si>
    <t>Playful Font, Bold Typeface, Quirky Style, Fun Lettering, Unique Display, Modern Typography, Retro Vibes, Stylish Font, Creative Typeface, Funky Letters, Cheerful Design, Casual Font, Bold Display, Fresh Style, Trendy Font, Impactful Headline, Cool Typography, Artsy Typeface, Decorative Letters, Expressive Font, Vibrant Design, Catchy Font, Versatile Typeface, Friendly Letters, Dynamic Style, Eye-catching Font, Joyful Typography, Inspiring Font, Display Font, Branding Typeface</t>
  </si>
  <si>
    <t>Klewa</t>
  </si>
  <si>
    <t>Sensatype Studio</t>
  </si>
  <si>
    <t>Zamroni Hamzah</t>
  </si>
  <si>
    <t>imagens\Klewa.png</t>
  </si>
  <si>
    <t>https://www.myfonts.com/pt/collections/klewa-font-sensatype-studio</t>
  </si>
  <si>
    <t>Logo Font, Font Logo, Minimal Logo Font, Creative, Brand Identity, Branding, Modern, Logo, Clean, Minimal, Bold, Unique, Design, Sans, Display, Marketing, Identity, Startup, Font</t>
  </si>
  <si>
    <t>Swatches</t>
  </si>
  <si>
    <t>Heinzel Std</t>
  </si>
  <si>
    <t>Nofi Sofyan Hadi</t>
  </si>
  <si>
    <t>imagens\Swatches.png</t>
  </si>
  <si>
    <t>https://www.myfonts.com/pt/collections/swatches-font-heinzel-std</t>
  </si>
  <si>
    <t>Handwritten Font, Handwriting Font, Fancy Font, Playful Font, Branding Font, Cricut Font, Canva Font, Cursive Font, Wedding Font, Modern Font, Cartoon Font, Comic Font</t>
  </si>
  <si>
    <t>Sunride Dream</t>
  </si>
  <si>
    <t>Vozzy</t>
  </si>
  <si>
    <t>Oleg Voznyy</t>
  </si>
  <si>
    <t>imagens\Sunride_Dream.png</t>
  </si>
  <si>
    <t>https://www.myfonts.com/pt/collections/sunride-dream-font-vozzy</t>
  </si>
  <si>
    <t>Modern, Classic, Elegant, Minimalist, Contemporary, Luxury, Sophisticated, Refined, Vintage, Retro, Futuristic, Experimental, Expressive, Dynamic, Bold, Clean, High-Contrast, Unconventional, Artistic, Abstract</t>
  </si>
  <si>
    <t>Bistrot</t>
  </si>
  <si>
    <t>Eurotypo</t>
  </si>
  <si>
    <t>Carine de Wandeleer</t>
  </si>
  <si>
    <t>imagens\Bistrot.png</t>
  </si>
  <si>
    <t>https://www.myfonts.com/pt/collections/bistrot-font-eurotypo</t>
  </si>
  <si>
    <t>Branding, Calligraphic, Cursive, Natural, Logotypes, Fashion, Packaging, Menus, Book Covers, Greeting Cards, Versatile, Editorial Design, Decorative, Elegance, Relaxed, Playful, Eye-catching, Ligatures, Stylistic Alternates, Organic, Meals, Chocolate, Soft, Handmade, Lavels, Children Books</t>
  </si>
  <si>
    <t>Nocturn</t>
  </si>
  <si>
    <t>imagens\Nocturn.png</t>
  </si>
  <si>
    <t>https://www.myfonts.com/pt/collections/nocturn-font-inviline</t>
  </si>
  <si>
    <t>Horror, Gothic, Scary, Dark, Blackletter, Haunted, Grunge, Bold, Creepy, Poster, Thriller, Sharp, Vintage, Spooky, Killer, Horror Font, Supernatural, Vintage Horror, Retro Horror, Album Cover</t>
  </si>
  <si>
    <t>Glyphic Sans</t>
  </si>
  <si>
    <t>Daniel Hernández</t>
  </si>
  <si>
    <t>Luciano Vergara</t>
  </si>
  <si>
    <t>imagens\Glyphic_Sans.png</t>
  </si>
  <si>
    <t>https://www.myfonts.com/pt/collections/glyphic-sans-font-font-catalogue</t>
  </si>
  <si>
    <t>Tags, Fintech, Banking, Geometric, Humanist, Professional, Elegant, Versatile, Branding, Display, Technical, Corporate, Contemporary, Refined, Sophisticated, Structured</t>
  </si>
  <si>
    <t>Crazy Blocks</t>
  </si>
  <si>
    <t>Ronny Studio</t>
  </si>
  <si>
    <t>Rony Rizki Jaya</t>
  </si>
  <si>
    <t>imagens\Crazy_Blocks.png</t>
  </si>
  <si>
    <t>https://www.myfonts.com/pt/collections/crazy-blocks-font-ronny-studio</t>
  </si>
  <si>
    <t>Crazy Blocks Font, Bold Display Font, Playful Display Typeface, Chunky Retro Font, Handcrafted Bold Font, Quirky Typography, Fun Creative Font, Unique Bold Typeface, Eye-catching Poster Font, Strong Logo Font, Retro Comic Font, Festival Event Font, Food Packaging Font, Streetwear Display Typeface, Creative Branding Font, Trendy Bold Typeface, Standout Poster Typography, Funny Bold Font, Decorative Display Typeface, Youth Culture Font</t>
  </si>
  <si>
    <t>Firethorn</t>
  </si>
  <si>
    <t>Arendxstudio</t>
  </si>
  <si>
    <t>Asep Rendi</t>
  </si>
  <si>
    <t>imagens\Firethorn.png</t>
  </si>
  <si>
    <t>https://www.myfonts.com/pt/collections/firethorn-font-arendxstudio</t>
  </si>
  <si>
    <t>Blackletter, Typeface, Organic Blackletter, Display Font</t>
  </si>
  <si>
    <t>Belangsak</t>
  </si>
  <si>
    <t>WidyDm</t>
  </si>
  <si>
    <t>Widya Dwi Marbani</t>
  </si>
  <si>
    <t>imagens\Belangsak.png</t>
  </si>
  <si>
    <t>https://www.myfonts.com/pt/collections/belangsak-font-widydm</t>
  </si>
  <si>
    <t>Belangsak, Display Font, Gothic Font, Condensed Font, Bold Typeface, Modern Gothic, Tribal Font, Tattoo Font, Streetwear Font, Poster Font, Logo Font, Strong Font, Blackletter Modern, Vintage Gothic, Heavy Typeface, Sharp Font, Branding, Headline Font, Typography Design</t>
  </si>
  <si>
    <t>Godsprint</t>
  </si>
  <si>
    <t>Uncurve</t>
  </si>
  <si>
    <t>Ferry Septian</t>
  </si>
  <si>
    <t>imagens\Godsprint.png</t>
  </si>
  <si>
    <t>https://www.myfonts.com/pt/collections/godsprint-font-uncurve</t>
  </si>
  <si>
    <t>Script Block Font, Script Bold Font, Script Race Font, Racing Font, Fast Font, Sport Font, Display Racing Font, Modern Racing Font, Fast Typeface, Motorsport Font, Speed Typography, Automotive Font, Dynamic Font, Speed Racing Font, Adrenaline Font, Automotive Branding, Bold Racing Font, Racing Headline Font, Fast Swash Font, Racing Event Social Media</t>
  </si>
  <si>
    <t>Super Guardian</t>
  </si>
  <si>
    <t>imagens\Super_Guardian.png</t>
  </si>
  <si>
    <t>https://www.myfonts.com/pt/collections/super-guardian-font-stringlabs-creative-studio</t>
  </si>
  <si>
    <t>Decorative, Display, Sansserif, Sans, Futuristic, Techno, Scifi, Tech, Modern, Multilingual, Various, Logotype, Playful, Sporty, Stylish</t>
  </si>
  <si>
    <t>Funky Things</t>
  </si>
  <si>
    <t>RahagitaType</t>
  </si>
  <si>
    <t>Setiadi Rahagita</t>
  </si>
  <si>
    <t>imagens\Funky_Things.png</t>
  </si>
  <si>
    <t>https://www.myfonts.com/pt/collections/funky-things-font-rahagita-type</t>
  </si>
  <si>
    <t>Fun, Groovy, Retro, Playful, School, Kids, Colorful, Fancy, Creative, Crafting, Bubble</t>
  </si>
  <si>
    <t>GW Slicer</t>
  </si>
  <si>
    <t>Goodwheel Studio</t>
  </si>
  <si>
    <t>Ilham Herry</t>
  </si>
  <si>
    <t>imagens\GW_Slicer.png</t>
  </si>
  <si>
    <t>https://www.myfonts.com/pt/collections/gw-slicer-font-goodwheel-studio</t>
  </si>
  <si>
    <t>Typeface, Sans, Condensed, Display Font, Bold, Super Bold, Branding, Type Design, Thick and Thin, Graphic Design, Bold Font</t>
  </si>
  <si>
    <t>Froxie</t>
  </si>
  <si>
    <t>Ergibi Studio</t>
  </si>
  <si>
    <t>Riyadh Rahman</t>
  </si>
  <si>
    <t>imagens\Froxie.png</t>
  </si>
  <si>
    <t>https://www.myfonts.com/pt/collections/froxie-font-ergibi-studio</t>
  </si>
  <si>
    <t>Hybrid Font, Sans, Blackletter, Street Art, Urban, Night, Skateboard, Wallstreet, Cool, Boy</t>
  </si>
  <si>
    <t>Geeky Swan</t>
  </si>
  <si>
    <t>imagens\Geeky_Swan.png</t>
  </si>
  <si>
    <t>https://www.myfonts.com/pt/collections/geeky-swan-font-olivetype</t>
  </si>
  <si>
    <t>Chunky Playful Font, Fun Cartoon Font, Movie Title Font, Gaming Font, Product Packaging Font</t>
  </si>
  <si>
    <t>Montrek</t>
  </si>
  <si>
    <t>imagens\Montrek.png</t>
  </si>
  <si>
    <t>https://www.myfonts.com/pt/collections/montrek-font-arendxstudio</t>
  </si>
  <si>
    <t>Display Font, Display, Bold, Bold Font, Retro, Retro Font, Groove</t>
  </si>
  <si>
    <t>Moon Comic</t>
  </si>
  <si>
    <t>imagens\Moon_Comic.png</t>
  </si>
  <si>
    <t>https://www.myfonts.com/pt/collections/moon-comic-font-patlot-digital-studio</t>
  </si>
  <si>
    <t>Comic, Moon Comic, Toon, Cartoon, Display Font, Book, Playfull, Kids, Children, Cartoonstyle, Superhero, Cute, Memes, Typography, Headline Font, Comic Font, Bold Font, Comic Style, Comic Style Font, Comic Book, Comic Display Font</t>
  </si>
  <si>
    <t>Fathera</t>
  </si>
  <si>
    <t>imagens\Fathera.png</t>
  </si>
  <si>
    <t>https://www.myfonts.com/pt/collections/fathera-font-gatype</t>
  </si>
  <si>
    <t>Display, Invitation, T-shirt, Poster, Webfont, Magazine, Leaflet, Advertesing, Banner, E-book, Polish, Circled, Legible, Modern, Elegant, Commercial, Greek, Crismas, Backdrop, Roll Up, Text</t>
  </si>
  <si>
    <t>Gurvaco</t>
  </si>
  <si>
    <t>imagens\Gurvaco.png</t>
  </si>
  <si>
    <t>https://www.myfonts.com/pt/collections/gurvaco-font-ragamkata</t>
  </si>
  <si>
    <t>Modern Font, Condensed Font, Ligature Font, Bold Font, Strong Font, Futuristic Font, Headline Font, Branding Font, Geometric Font, Stylish Font, Clean Font, Sleek Font, Logo Font, Technology Font, Tech Font, Versatile Font, Modern, Condensed, Ligature, Bold</t>
  </si>
  <si>
    <t>Clagio</t>
  </si>
  <si>
    <t>Arterfak Project</t>
  </si>
  <si>
    <t>Ahmad Ramzi Fahruddin</t>
  </si>
  <si>
    <t>Oct 13, 2025</t>
  </si>
  <si>
    <t>imagens\Clagio.png</t>
  </si>
  <si>
    <t>https://www.myfonts.com/pt/collections/clagio-font-arterfak-project</t>
  </si>
  <si>
    <t>Sans Serif, Modern Sans, Modern Classic, Classy, Minimal, Minimalist, Fashionable, Thick Thin, Trendy, Sophisticated, Magazine, Editorial, Instagram, Blog, Architecture, Branding, Social Media, Bold Sans, Feminine, Geometric, Ligatures, Alternates, Font Family, Fashion, Logo Font, Wedding, Invitation, Astethetic Font</t>
  </si>
  <si>
    <t>Arkvell</t>
  </si>
  <si>
    <t>imagens\Arkvell.png</t>
  </si>
  <si>
    <t>https://www.myfonts.com/pt/collections/arkvell-font-tini-fitriani</t>
  </si>
  <si>
    <t>Serif, Display, Modern Font, Wedding, Luxury, Elegant, Classic, Minimal, Aesthetic, Classy, Logotype, Headline, Fashion, Elegant Serif, Quote, Chic, Magazine, Beautiful, Stylish Font</t>
  </si>
  <si>
    <t>Rustic Grace Display</t>
  </si>
  <si>
    <t>Cocodesign</t>
  </si>
  <si>
    <t>Muhammad Zaini</t>
  </si>
  <si>
    <t>imagens\Rustic_Grace_Display.png</t>
  </si>
  <si>
    <t>https://www.myfonts.com/pt/collections/rustic-grace-display-font-cocodesign</t>
  </si>
  <si>
    <t>Font Duo, Vintage, Handwriting Font, Natural Font, Trending Font, Logo Font, Font Pairing</t>
  </si>
  <si>
    <t>Monarchy Script</t>
  </si>
  <si>
    <t>Romie Creative</t>
  </si>
  <si>
    <t>Romi Rahmadi</t>
  </si>
  <si>
    <t>imagens\Monarchy_Script.png</t>
  </si>
  <si>
    <t>https://www.myfonts.com/pt/collections/monarchy-script-font-romie-creative</t>
  </si>
  <si>
    <t>Calligraphy, Elegant Font, Modern, Classic, Modern Calligraphy, Script, Font, Website Fonts, Categories, Trendy Font, Photography Font, Fashion Font, Stunning Font, Contemporary, Blogger Font, Handwritten, Romantic, Fashion, Photography, Website, Beautiful Font, Branding Font, Feminine Font, Alternates, Swash Font, Wedding Font, Handlettered Font, High Quality, Luxury Font, Logo, Art, Fine, Swash</t>
  </si>
  <si>
    <t>Cocktail Party</t>
  </si>
  <si>
    <t>imagens\Cocktail_Party.png</t>
  </si>
  <si>
    <t>https://www.myfonts.com/pt/collections/cocktail-party-font-vozzy</t>
  </si>
  <si>
    <t>Cathelink</t>
  </si>
  <si>
    <t>imagens\Cathelink.png</t>
  </si>
  <si>
    <t>https://www.myfonts.com/pt/collections/cathelink-font-basnistudio</t>
  </si>
  <si>
    <t>Handwritten, Signature, Modern, Romance, Script, Swashes, Wedding</t>
  </si>
  <si>
    <t>Kavitra</t>
  </si>
  <si>
    <t>imagens\Kavitra.png</t>
  </si>
  <si>
    <t>https://www.myfonts.com/pt/collections/kavitra-font-rahagita-type</t>
  </si>
  <si>
    <t>cute, wedding, logo, wedding invitations, women, craft, clothes, Branding, pavkahing, flyer, social media, adverting, advertising, product design, food, beach, deal, free, best, Popular Font</t>
  </si>
  <si>
    <t>Kontrue</t>
  </si>
  <si>
    <t>imagens\Kontrue.png</t>
  </si>
  <si>
    <t>https://www.myfonts.com/pt/collections/kontrue-font-inviline</t>
  </si>
  <si>
    <t>Geometric, Sansserif, Minimalist, Typography, Modern, Stylish, Futuristic, Clean, Tech, Branding, Font, Modern Font, Clean Font, Ui Font, Typeface, Display Font, Sans Serif, Digital Font, Logo, Professional</t>
  </si>
  <si>
    <t>Nsai Pro Rounded</t>
  </si>
  <si>
    <t>AukimVisuel</t>
  </si>
  <si>
    <t>Audry Makelele</t>
  </si>
  <si>
    <t>imagens\Nsai_Pro_Rounded.png</t>
  </si>
  <si>
    <t>https://www.myfonts.com/pt/collections/nsai-pro-rounded-font-aukimvisuel</t>
  </si>
  <si>
    <t>Rounded, Versatile, Multilangual, Profesional, Corporate, Web, Print, Display, Greek, Cyrillic, Latin, Book, Packaging, Advertising, Grotesk, Gothic, Geometric, Sans Serif, Logotype, Normal, Slanted, Regular, Italic, Compressed, Condensed, Narrow, Wide, Expanded, Fat, Ligature, Signage, Elegance, Technical, OpenType</t>
  </si>
  <si>
    <t>Mustaqim</t>
  </si>
  <si>
    <t>imagens\Mustaqim.png</t>
  </si>
  <si>
    <t>https://www.myfonts.com/pt/collections/mustaqim-font-burntilldead</t>
  </si>
  <si>
    <t>Arabic Font, Ramadan Font, Islamic Font, Arabic Display, Cultural Font, Elegant Font, Eid Font, Ligature Font, Modern Arabic, Decorative Style, Religious Font, Stylish Font</t>
  </si>
  <si>
    <t>Kyzorin</t>
  </si>
  <si>
    <t>imagens\Kyzorin.png</t>
  </si>
  <si>
    <t>https://www.myfonts.com/pt/collections/kyzorin-font-mans-greback</t>
  </si>
  <si>
    <t>Military, Tech, Technology, Modern, Space Age, Cool, Expanded, Wide, Layered, Sans-serif, Angular, Geometric</t>
  </si>
  <si>
    <t>Adorable Daydream</t>
  </si>
  <si>
    <t>Nathatype</t>
  </si>
  <si>
    <t>Donis Miftahudin</t>
  </si>
  <si>
    <t>imagens\Adorable_Daydream.png</t>
  </si>
  <si>
    <t>https://www.myfonts.com/pt/collections/adorable-daydream-font-nathatype</t>
  </si>
  <si>
    <t>Font, Typeface, Typhopraphy, Sans Serif, Brush, Script, Handwritten, Logo Font, Branding Font, Adorable Font</t>
  </si>
  <si>
    <t>Kasia Nova</t>
  </si>
  <si>
    <t>ROHH</t>
  </si>
  <si>
    <t>Roch Modrzejewski</t>
  </si>
  <si>
    <t>imagens\Kasia_Nova.png</t>
  </si>
  <si>
    <t>https://www.myfonts.com/pt/collections/kasia-nova-font-rohh</t>
  </si>
  <si>
    <t>Sans-serif, Soft, Rounded, Friendly, Love, Funky, Food, Cosmetics, Informal, Cute, Feminine, Fun, Supermarket</t>
  </si>
  <si>
    <t>Zegan Wolf Short</t>
  </si>
  <si>
    <t>Inumocca</t>
  </si>
  <si>
    <t>Inu Mocca</t>
  </si>
  <si>
    <t>imagens\Zegan_Wolf_Short.png</t>
  </si>
  <si>
    <t>https://www.myfonts.com/pt/collections/zegan-wolf-short-font-inumocca</t>
  </si>
  <si>
    <t>Cyberpunk, Futuristic, Display Font, Tech Font, Gaming Font, Esport Font, Digital Font, Modern Font, Headline Font, Sci-fi, Cyber Display, Short Font, Futuristic Typography, Typography, Geometric Font, Tittle Font, Bold Font, Technology Font, Italic Font, Font Family, Poster, Logo</t>
  </si>
  <si>
    <t>MarkCo</t>
  </si>
  <si>
    <t>imagens\MarkCo.png</t>
  </si>
  <si>
    <t>https://www.myfonts.com/pt/collections/markco-font-inumocca</t>
  </si>
  <si>
    <t>Display Font, Modern, Logo, Font Family, Family Pack, Geometric Sans, Capital, Geometric Font, Geometric Display, Sans, Bold Font, Sans Font, Magazine, Headline</t>
  </si>
  <si>
    <t>Zaiwo Nobles</t>
  </si>
  <si>
    <t>imagens\Zaiwo_Nobles.png</t>
  </si>
  <si>
    <t>https://www.myfonts.com/pt/collections/zaiwo-nobles-font-denustudio</t>
  </si>
  <si>
    <t>Blackletter, Victorian, Vintage, Tattoo, Gothic, Medieval, Music, Black Metal, Death Metal, Old English, Ornate, Ornamental, Underground, Edgy, Whiskey, Beer, Merchandise, Metal, Display</t>
  </si>
  <si>
    <t>Gerebong Rough</t>
  </si>
  <si>
    <t>imagens\Gerebong_Rough.png</t>
  </si>
  <si>
    <t>https://www.myfonts.com/pt/collections/gerebong-rough-font-tini-fitriani</t>
  </si>
  <si>
    <t>Sans Serif, Retro, Vintage, Condensed, Typography, Display, Nostalgic, Vintage Sans Serif, Bold, Logotype, Headline, Rounded, Magazine, Modern, Typeface, Modern Font, Multilingual Font, Minimalist Font, Stylish Title, Headline Font, Cover, Poster, Casual, Sans</t>
  </si>
  <si>
    <t>Pear Haresh</t>
  </si>
  <si>
    <t>Oct 17, 2025</t>
  </si>
  <si>
    <t>imagens\Pear_Haresh.png</t>
  </si>
  <si>
    <t>https://www.myfonts.com/pt/collections/pear-haresh-font-ragamkata</t>
  </si>
  <si>
    <t>Elegant Font, Modern Font, Serif Font, Luxury Font, Branding Font, Timeless Font, Aesthetic Font, Classy Font, Stylish Font, Typeface, Romantic Font, Creative Font, Vintage Font, Ligature Font, Modern Serif, Classy Serif, Premium Serif, Ligature Serif, Timeless Serif, Display Font, Wedding Font, Wedding Invitation, Fashion Font, Elegant Serif, Luxury Serif, Classy, Serif, Modern, Luxury, Branding, Timeless, Ligature, Stylish, Fashion, Vintage, Wedding</t>
  </si>
  <si>
    <t>Curve Display</t>
  </si>
  <si>
    <t>Fontador</t>
  </si>
  <si>
    <t>Arne Freytag</t>
  </si>
  <si>
    <t>imagens\Curve_Display.png</t>
  </si>
  <si>
    <t>https://www.myfonts.com/pt/collections/curve-display-font-arne-freytag</t>
  </si>
  <si>
    <t>sans serif, contemporary, grotesque, central european, office, readable, international, annual report, quitador, casual, legible, heading, techno, arne freytag, mile, opentype, ot, professional, pro, business, ce</t>
  </si>
  <si>
    <t>Calderon</t>
  </si>
  <si>
    <t>Eroane Creative</t>
  </si>
  <si>
    <t>Erick Rismawan</t>
  </si>
  <si>
    <t>imagens\Calderon.png</t>
  </si>
  <si>
    <t>https://www.myfonts.com/pt/collections/calderon-font-eroane-creative</t>
  </si>
  <si>
    <t>Rotunda, Classic, Gothic, Medieval, Calligraphy, Black Letter, Display, Decorative, Old English, Script, Manuscript, Branding, Logo</t>
  </si>
  <si>
    <t>Tassili</t>
  </si>
  <si>
    <t>Ayn Foundry</t>
  </si>
  <si>
    <t>Nacir Imache</t>
  </si>
  <si>
    <t>imagens\Tassili.png</t>
  </si>
  <si>
    <t>https://www.myfonts.com/pt/collections/tassili-font-ayn-foundry</t>
  </si>
  <si>
    <t>Multilingual, Arabic, Latin, Greek, Cyrillic, Tamazight, Tifinagh, Vietnamese, Sans, Clean, Geometric, Modern, Print, Digital, Interface, Technology, Branding, Signage, Wayfinding, Infographics, Variable</t>
  </si>
  <si>
    <t>Qandera</t>
  </si>
  <si>
    <t>imagens\Qandera.png</t>
  </si>
  <si>
    <t>https://www.myfonts.com/pt/collections/qandera-font-timelesstype-studio</t>
  </si>
  <si>
    <t>Modern Display Serif Font, Modern Font, Display, Font, Luxury Serif, Brand, Logo, Web, Trend, Website, Display Font, Promotion</t>
  </si>
  <si>
    <t>Radiant Beauty</t>
  </si>
  <si>
    <t>imagens\Radiant_Beauty.png</t>
  </si>
  <si>
    <t>https://www.myfonts.com/pt/collections/radiant-beauty-font-ian-barnard</t>
  </si>
  <si>
    <t>Brush Font, Logo Font, Wedding Font, Branding Font, Brush Script, Casual, Flowing Font, Marker Font, Pen Font, Wilderness, Clothing, Fashion, Greetings Card, Invitation, Modern Calligraphy Font, Brush Swash Set, Casual Brush Font, Hand Lettering Font, Playful, Adventure</t>
  </si>
  <si>
    <t>Death Subway</t>
  </si>
  <si>
    <t>Sipanji21</t>
  </si>
  <si>
    <t>Sipanji</t>
  </si>
  <si>
    <t>imagens\Death_Subway.png</t>
  </si>
  <si>
    <t>https://www.myfonts.com/pt/collections/death-subway-font-sipanji21</t>
  </si>
  <si>
    <t>Graffiti Font, Urban Font, Monoline Font, Raw Font, Graffiti Tag, Handwritten Font, Script Font, Dripping Font, Melted Font, Edgy Font, Expressive Font, Poster Font, Branding Font, Subway Font, Hip Hop Font, Rebellious Font, Streetwear Font, Fashion Font, Tumbler Font, Quotes Font, Motivational Font</t>
  </si>
  <si>
    <t>Fórmula desportiva</t>
  </si>
  <si>
    <t>imagens\Fórmula_desportiva.png</t>
  </si>
  <si>
    <t>https://www.myfonts.com/pt/collections/sport-formula-font-nirmana-visual</t>
  </si>
  <si>
    <t>Sport, Formula, Bold, Dynamic, Speed, Car, Racing, Branding, Logos, Uniforms, Power, Motorsport</t>
  </si>
  <si>
    <t>Belyora</t>
  </si>
  <si>
    <t>Font Liner</t>
  </si>
  <si>
    <t>Ghina Luthfiarieska</t>
  </si>
  <si>
    <t>imagens\Belyora.png</t>
  </si>
  <si>
    <t>https://www.myfonts.com/pt/collections/belyora-font-font-liner</t>
  </si>
  <si>
    <t>Retro Font, Bold Font, Vintage Font, Groovy Font, Branding Font, Stylish Font, Elegant Font, Display Font, Classic Font, Decorative Font, Headline Font, Fashion Font, Unique Font, Versatile Font, Ornamental Font, Magazine Font, Timeless Font, Luxury Font, Professional Font, Retro, Serif Font, Vintage, Elegant, Modern Font, Modern, Artistic Font, Aesthetic Font, Versatile, Creative Font, Classic, Stylish, Luxury, Fashion, Artistic</t>
  </si>
  <si>
    <t>Murisa Cobbold</t>
  </si>
  <si>
    <t>imagens\Murisa_Cobbold.png</t>
  </si>
  <si>
    <t>https://www.myfonts.com/pt/collections/murisa-cobbold-font-murisa-studio</t>
  </si>
  <si>
    <t>Serif Font, Elegant Serif, Luxury Font, Editorial Typeface, Classic Serif, Modern Serif, Display Serif, Branding Font, Book Cover Font, Packaging Font, Magazine Font, Multilingual Font, Eastern European Support, Stylish Font, Premium Font, High-end Typography, Refined Font, Timeless Design, Sophisticated Font, Professional Font, Headline Font, Logo Font, Upscale Font, Fashion Font, Boutique Font, Artistic Serif, Murisa Cobbold, Exclusive Font, Statement Font, Graceful Font, Sharp Serif, Font for Designers, Font for Creatives</t>
  </si>
  <si>
    <t>Murisa Costa</t>
  </si>
  <si>
    <t>imagens\Murisa_Costa.png</t>
  </si>
  <si>
    <t>https://www.myfonts.com/pt/collections/murisa-costa-font-murisa-studio</t>
  </si>
  <si>
    <t>Elegant Serif Font, Luxury Typeface, Editorial Font, Premium Branding, Multilingual Font, Eastern European Support, Stylish Typography, Display Serif, Modern Classic Font, High-end Design, Fashion Font, Packaging Font, Timeless Serif, Bold Elegance, Refined Typeface, Statement Font, Artistic Lettering, Upscale Font, Magazine Font, Classy Font, Dramatic Serif, Sophisticated Font, Branding Font, Boutique Font, Sharp Serif, Contrast Font, Expressive Typeface, Signature Font, Premium Logo Font, Vintage Meets Modern, Heritage Style, Contemporary Serif, Deluxe Font, Ornate Serif, Graceful Font, Identity Design, Creative Headline Font, Typographic Art, Visual Storytelling, Elite Font, Curated Design, Professional Font, Editorial Elegance, Global Language Support, Design-forward Font, Luxury Editorial, Refined Curves, Typographic Sophistication, Branding Essential, Visual Impact Font, Exclusive Font, Designer’s Choice</t>
  </si>
  <si>
    <t>Dirty Novel</t>
  </si>
  <si>
    <t>Groovy Font</t>
  </si>
  <si>
    <t>Ahmad Ginanjar Riyadi</t>
  </si>
  <si>
    <t>imagens\Dirty_Novel.png</t>
  </si>
  <si>
    <t>https://www.myfonts.com/pt/collections/dirty-novel-font-groovy-font</t>
  </si>
  <si>
    <t>Font, Fonts, Serif, Display, Playful, Fancy, Retro, Vintage, Bold, Regular, Slant, Modern, Classy, Typeface, Elegant, Typography, Style, Modern Serif, Classic, 90s, 80s, 70s, 60s, Brand, Logo, Poster, Magazine, Branding, Decorative, Fashion, Italic, Headline, Unique, Beauty, Trendy, Stylish, Luxury, Nostalgic, Old, Header, Fun, Minimal, Retro Modern, Logotype, Design, Graphic</t>
  </si>
  <si>
    <t>Wush</t>
  </si>
  <si>
    <t>imagens\Wush.png</t>
  </si>
  <si>
    <t>https://www.myfonts.com/pt/collections/wush-font-sensatype-studio</t>
  </si>
  <si>
    <t>Energy, Motion, Fast, Movement, Race, Wush, Font, Dynamic, Modern, Branding, Animated, Display, Unique, Kinetic, Creative, Typography, Energetic, Design, Visual</t>
  </si>
  <si>
    <t>Jacklin</t>
  </si>
  <si>
    <t>imagens\Jacklin.png</t>
  </si>
  <si>
    <t>https://www.myfonts.com/pt/collections/jacklin-font-font-liner</t>
  </si>
  <si>
    <t>Bubble Font, Groovy Font, Playful Font, Retro Font, Funky Font, Rounded Font, Cartoon Font, Comic Font, Buibbly Font, Bold Font, Stylish Font, Mdoern Font, Display Font, Headline Font, Heading Font, Vintage Font, Creative Font, Bubble, Groovy, Playful, Retro, Funky, Rounded, Cartoon, Comic, Fun, Bubbly, Bold, Quircky, Soft, Vintage, Modern, Display, Stylish</t>
  </si>
  <si>
    <t>Raftket</t>
  </si>
  <si>
    <t>imagens\Raftket.png</t>
  </si>
  <si>
    <t>https://www.myfonts.com/pt/collections/raftket-font-timelesstype-studio</t>
  </si>
  <si>
    <t>Bold Display Sans Serif Font, Luxury Serif, Sans Serif, Branding, Trend, Website, Brand, Fashion, Promotion</t>
  </si>
  <si>
    <t>Verismo Neon</t>
  </si>
  <si>
    <t>Martin Verstraaten</t>
  </si>
  <si>
    <t>Oct 16, 2025</t>
  </si>
  <si>
    <t>imagens\Verismo_Neon.png</t>
  </si>
  <si>
    <t>https://www.myfonts.com/pt/collections/verismo-neon-font-martin-verstraaten</t>
  </si>
  <si>
    <t>Neon, Inline, Retro, Light, Contemporary, Decorative, Modern, Poster, Glowing, Nightife, Cinema</t>
  </si>
  <si>
    <t>Klaft</t>
  </si>
  <si>
    <t>imagens\Klaft.png</t>
  </si>
  <si>
    <t>https://www.myfonts.com/pt/collections/klaft-font-jafar07</t>
  </si>
  <si>
    <t>Sans, Serif, Geometric, Modern, Bold, Clean, Minimal, Contenmporary, Rounded, Typography, Display, Branding, Logo, Tech, Startup, Editorial, Poster, Webfont, Stylish, Aesthetic</t>
  </si>
  <si>
    <t>Esarolin Glamour</t>
  </si>
  <si>
    <t>Starhand</t>
  </si>
  <si>
    <t>Kadek Sisnu Sunaya Santika</t>
  </si>
  <si>
    <t>imagens\Esarolin_Glamour.png</t>
  </si>
  <si>
    <t>https://www.myfonts.com/pt/collections/esarolin-glamour-font-starhand</t>
  </si>
  <si>
    <t>Serif, Elegant, Luxury, Modern, Stylish, Premium, Unique, High-Contrast, Refined, Glamour, Vintage, Classic, Timeless, Sophisticated, Dramatic, Oblique</t>
  </si>
  <si>
    <t>Neutral Dreamin</t>
  </si>
  <si>
    <t>imagens\Neutral_Dreamin.png</t>
  </si>
  <si>
    <t>https://www.myfonts.com/pt/collections/neutral-dreamin-font-suza-studio</t>
  </si>
  <si>
    <t>Casual Font, Luxury Font, Calligraphy, Serif, Typeface, Romantic, Editorial, Poster, Classic, Vintage Serif, Headline Font, Wedding Font, Branding Font, Aesthetic, Logotype, Typography, Novel, Hibryd Font, Packaging, Magazine</t>
  </si>
  <si>
    <t>Etronika</t>
  </si>
  <si>
    <t>Parker Creative</t>
  </si>
  <si>
    <t>Alan Parker</t>
  </si>
  <si>
    <t>imagens\Etronika.png</t>
  </si>
  <si>
    <t>https://www.myfonts.com/pt/collections/etronika-font-parker-creative</t>
  </si>
  <si>
    <t>1980s Font, Synthwave Typeface, Neon Font, Retro Font, Double Line Font, Monogram Font, Cyberpunk Font, 80s Display Font, Retro Future, Ligature Font, Arcade Font, Vaporwave Font, Gaming Font, Classic 80s Font</t>
  </si>
  <si>
    <t>Southwest Partisan</t>
  </si>
  <si>
    <t>imagens\Southwest_Partisan.png</t>
  </si>
  <si>
    <t>https://www.myfonts.com/pt/collections/southwest-partisan-font-inviline</t>
  </si>
  <si>
    <t>Handwriting, Script, Signature, Calligraphy, Elegant, Fashion, Luxury, Branding, Wedding, Photography, Modern Calligraphy, Personal Touch, Ligature Font, Alternate Font, Feminine Style, Lifestyle Logo, Smooth Handwriting, Cursive Script, Stylistic Font, Soft Aesthetic</t>
  </si>
  <si>
    <t>MC Glabak Lastro</t>
  </si>
  <si>
    <t>imagens\MC_Glabak_Lastro.png</t>
  </si>
  <si>
    <t>https://www.myfonts.com/pt/collections/mc-glabak-lastro-font-maulana-creative</t>
  </si>
  <si>
    <t>Handmade Font, Casual Script, Brush Lettering, Indie Style, Authentic Typeface, Quote Font, Book Cover, Graphic Design, Social Media, Comic Font, Energetic Font, Rustic Texture, Fun Branding, Personal Touch, Unique Handwriting, Rough Edges, Handmade Texture, Creative Project, All Caps, Multilingual Support</t>
  </si>
  <si>
    <t>SandwichParadise</t>
  </si>
  <si>
    <t>UICreative</t>
  </si>
  <si>
    <t>Hero</t>
  </si>
  <si>
    <t>imagens\SandwichParadise.png</t>
  </si>
  <si>
    <t>https://www.myfonts.com/pt/collections/sandwichparadise-font-uicreative</t>
  </si>
  <si>
    <t>Handwritten, Handwritten Font, Script Font, Signature Typeface</t>
  </si>
  <si>
    <t>Bunny Carroty</t>
  </si>
  <si>
    <t>imagens\Bunny_Carroty.png</t>
  </si>
  <si>
    <t>https://www.myfonts.com/pt/collections/bunny-carroty-font-inviline</t>
  </si>
  <si>
    <t>Handwritten, Cute, Playful, Bold, Quirky, Fun Font, Kids Font, Display Font, Cartoon Font, Comic Font, Marker Font, Bouncy Letters, Funky Font, Poster Font, Logotype, Lettering, Brush Style, Digital Planner, Cheerful, Typeface</t>
  </si>
  <si>
    <t>Riolan</t>
  </si>
  <si>
    <t>imagens\Riolan.png</t>
  </si>
  <si>
    <t>https://www.myfonts.com/pt/collections/riolan-font-pandeka-studio</t>
  </si>
  <si>
    <t>Serif Font, Elegant Serif, Modern Serif, Luxury Font, Logo Font, Premium Font, Fashion Branding, Beauty Font, Classy Font, Elegant Typeface, Display Serif, Editorial Font, Vintage Serif, Wedding Font, Luxury Logo Typeface, Refined Serif, High-end Branding, Timeless Serif, Modern Classic Font, Elegant Branding Font</t>
  </si>
  <si>
    <t>The Hilarious</t>
  </si>
  <si>
    <t>imagens\The_Hilarious.png</t>
  </si>
  <si>
    <t>https://www.myfonts.com/pt/collections/the-hilarious-font-imoodev</t>
  </si>
  <si>
    <t>Tall Font, Whimsical Letters, Handwritten, Classic, Elegant, Beautiful, Birthday, Luxury, Clean, Minimalist, Classy, Fashion, Greeting Card, Invitation, Holiday, Christmas Font, Art Deco, Xmas, Wedding Invitation, Disney, Santa Claus, Magical, Fairy Tale, Whimsical Typeface, Fantasy, Storybook Typeface, Magical Kingdom, Kids, Cartoon, Headline Font</t>
  </si>
  <si>
    <t>Ebamo</t>
  </si>
  <si>
    <t>Marvadesign</t>
  </si>
  <si>
    <t>Febrie Setiawan</t>
  </si>
  <si>
    <t>imagens\Ebamo.png</t>
  </si>
  <si>
    <t>https://www.myfonts.com/pt/collections/ebamo-font-marvadesign</t>
  </si>
  <si>
    <t>Serif, Display, Decorative, Editorial, Website, Unique, Elegant, Minimalist, Modern, Aesthetic, Beauty, Fashion, Artistic, High Contrast, Fint, Fonts, Typography, Luxury, Windows</t>
  </si>
  <si>
    <t>Jack O Lantern Halloween</t>
  </si>
  <si>
    <t>imagens\Jack_O_Lantern_Halloween.png</t>
  </si>
  <si>
    <t>https://www.myfonts.com/pt/collections/jack-o-lantern-halloween-font-mvmet</t>
  </si>
  <si>
    <t>Cute Fonts, Display Fonts, Handwritten Fonts, Playful Fonts, Halloween, Retro, T-shirt, Clothing Fonts, Packaging, Decorative, Ghost, Witch, Spooky, Pumpkin, Cute Halloween, Playful, Trick or Treat, Marker, Classic, Fall</t>
  </si>
  <si>
    <t>MC Rezox Futorr</t>
  </si>
  <si>
    <t>imagens\MC_Rezox_Futorr.png</t>
  </si>
  <si>
    <t>https://www.myfonts.com/pt/collections/mc-rezox-futorr-font-maulana-creative</t>
  </si>
  <si>
    <t>Horror Font, Scary Typeface, Halloween Style, Spooky Design, Creepy Lettering, Dark Typography, Gothic Vibe, Nightmare Display, Bloody Font, Haunted Theme, Evil Design, Killer Style, Terror Display, Vintage Horror, Eerie Type, Wicked Font, Fear Aesthetic, Occult Typeface, Sinister Design, Grunge Display</t>
  </si>
  <si>
    <t>Magout</t>
  </si>
  <si>
    <t>imagens\Magout.png</t>
  </si>
  <si>
    <t>https://www.myfonts.com/pt/collections/magout-font-imoodev</t>
  </si>
  <si>
    <t>Handwritten, Fun, Cute, Playful, Back To School, Kids, Childrens, Happy, Quotes, Craft, Rounded, Funny, Playful Handwriting, Storybook, Birthday, Playground, Kindergarten, Fun Typeface, Colorful, Modern Playful, Marker, Bouncy, Friendly, Joyful, Whimsical, Nursery, Cartoon, Doodle</t>
  </si>
  <si>
    <t>Camelia</t>
  </si>
  <si>
    <t>imagens\Camelia.png</t>
  </si>
  <si>
    <t>https://www.myfonts.com/pt/collections/camelia-font-sensatype-studio</t>
  </si>
  <si>
    <t>Camelia, Unique, Display, Serif, Font, Elegant, Branding, Editorial, Classic, Typography, Stylish, Modern, Design, Artistic, Typeface</t>
  </si>
  <si>
    <t>Feurotype</t>
  </si>
  <si>
    <t>Fortus Foundry</t>
  </si>
  <si>
    <t>Zulhilmi Hanip</t>
  </si>
  <si>
    <t>imagens\Feurotype.png</t>
  </si>
  <si>
    <t>https://www.myfonts.com/pt/collections/feurotype-font-fortus-foundry</t>
  </si>
  <si>
    <t>Sans Serif, Brutalist, Minimalist, Clean, Typeface, Editorial</t>
  </si>
  <si>
    <t>Merry Whimsy</t>
  </si>
  <si>
    <t>imagens\Merry_Whimsy.png</t>
  </si>
  <si>
    <t>https://www.myfonts.com/pt/collections/merry-whimsy-font-inviline</t>
  </si>
  <si>
    <t>Christmas, Festive, Holiday, Winter, Cozy, Handwriting, Script, Swirly, Curly, Decorative, Merry Christmas, Christmas Font, Winter Script, Handwritten Font, Cute Script, Holiday Typeface, Festive Script, Modern Calligraphy, Whimsical Font, Christmas Handwriting</t>
  </si>
  <si>
    <t>Jack Laguna</t>
  </si>
  <si>
    <t>imagens\Jack_Laguna.png</t>
  </si>
  <si>
    <t>https://www.myfonts.com/pt/collections/jack-laguna-font-dm-studio</t>
  </si>
  <si>
    <t>Handwritten Brush Font, Bold Brush Script, Dry Brush Font, Hand-painted Font, Streetwear Font, Brush Lettering Font, Textured Font, Edgy Brush Typeface, Fashion Branding Font, Logo Brush Font, Energetic Quote Font, Bold Signature Font, Rough Handwriting Font, Canva Brush Font, Procreate Brush Font, Aggressive Script Font, Handmade Brush Font, YouTube Title Font, Packaging Brush Font, Modern Urban Font</t>
  </si>
  <si>
    <t>Rocker mintsed</t>
  </si>
  <si>
    <t>Sulthan Studio</t>
  </si>
  <si>
    <t>Nasrullah</t>
  </si>
  <si>
    <t>imagens\Rocker_mintsed.png</t>
  </si>
  <si>
    <t>https://www.myfonts.com/pt/collections/rocker-mintsed-font-sulthan-studio</t>
  </si>
  <si>
    <t>Natural Font, Modern Brush Script, Organic Texture, Casual Elegance, Branding</t>
  </si>
  <si>
    <t>Young Bentley</t>
  </si>
  <si>
    <t>imagens\Young_Bentley.png</t>
  </si>
  <si>
    <t>https://www.myfonts.com/pt/collections/young-bentley-font-letterhend</t>
  </si>
  <si>
    <t>Script, Signature, Calligraphy, Wedding Invitation, Beauty, Timeless</t>
  </si>
  <si>
    <t>VintageRegal</t>
  </si>
  <si>
    <t>imagens\VintageRegal.png</t>
  </si>
  <si>
    <t>https://www.myfonts.com/pt/collections/vintageregal-font-uicreative</t>
  </si>
  <si>
    <t>Handwritten, Handwritten Font, Script Font, Signature</t>
  </si>
  <si>
    <t>Dawnee</t>
  </si>
  <si>
    <t>imagens\Dawnee.png</t>
  </si>
  <si>
    <t>https://www.myfonts.com/pt/collections/dawnee-font-ronny-studio</t>
  </si>
  <si>
    <t>Metalhead Font, Death Metal Font, Brutality Font, Thrash Metal Font, Logo Font, Logotype, Music, Band, Poster, Cover Album Font, Apparel Font, Tshirt Font, Ghotic Font</t>
  </si>
  <si>
    <t>WTF Forma</t>
  </si>
  <si>
    <t>W Type Foundry</t>
  </si>
  <si>
    <t>imagens\WTF_Forma.png</t>
  </si>
  <si>
    <t>https://www.myfonts.com/pt/collections/wtf-forma-font-without-foundry</t>
  </si>
  <si>
    <t>DIN, Mechanic, Race Track, Sans, Sans Serif, Kind, Corporate, Institutional, Industry, Industrial, B2b, Friendly, Solution, Multinational, Business, Partners, Approachable, Legible, Reliable, Serious</t>
  </si>
  <si>
    <t>Dotmax</t>
  </si>
  <si>
    <t>Drizy Font</t>
  </si>
  <si>
    <t>imagens\Dotmax.png</t>
  </si>
  <si>
    <t>https://www.myfonts.com/pt/collections/dotmax-font-drizy-font</t>
  </si>
  <si>
    <t>Display, Decorative, Pixel, Game, 8bit, Sci-fi, Futuristic, Modern</t>
  </si>
  <si>
    <t>Loopy Lop</t>
  </si>
  <si>
    <t>imagens\Loopy_Lop.png</t>
  </si>
  <si>
    <t>https://www.myfonts.com/pt/collections/loopy-lop-font-dm-studio</t>
  </si>
  <si>
    <t>Whimsical Handwritten Font, Loopy Font, Playful Handwriting Font, Kids Lettering Font, Cute Quote Font, Fun Script Font, Canva Handwriting Font, Procreate Fun Font, Happy Handwritten Typeface, Girly Font, Bouncing Baseline Font, Cricut Sticker Font, Lighthearted Script Font, Scrapbooking Font, Teacher Friendly Font, Cheerful Hand Lettering, Modern Quirky Font, Casual Handwriting Style, Loopy Lop Font, Cute Instagram Font</t>
  </si>
  <si>
    <t>Chunk Story</t>
  </si>
  <si>
    <t>imagens\Chunk_Story.png</t>
  </si>
  <si>
    <t>https://www.myfonts.com/pt/collections/chunk-story-font-dm-studio</t>
  </si>
  <si>
    <t>Chunk Story Slab Serif Font, Slab Serif Font, Vintage Serif Typeface, Bold Serif Font, Retro Serif Font, Strong Serif Letters, Display Serif Font, Packaging Font, Logo Serif Font, Editorial Typeface, Book Cover Font, Serif for Canva, Cricut Serif Font, Old-school Font, Serif for Headlines, Western Serif Font, Block Serif Type, Rugged Serif Font, Classic Serif Font, Storytelling Serif Font</t>
  </si>
  <si>
    <t>Moonshiver</t>
  </si>
  <si>
    <t>Youthlabs</t>
  </si>
  <si>
    <t>Fathi Al Ghazi</t>
  </si>
  <si>
    <t>imagens\Moonshiver.png</t>
  </si>
  <si>
    <t>https://www.myfonts.com/pt/collections/moonshiver-font-youthlabs</t>
  </si>
  <si>
    <t>Horror, Spooky, Halloween, Scary, Creepy, Thriller, Textured, Vintage, Bold, Fear, Dripping, Dark, Movie, Cinematic, Poster, Night, Haunted, Dramatic, Ghost, Retro</t>
  </si>
  <si>
    <t>The Bores</t>
  </si>
  <si>
    <t>imagens\The_Bores.png</t>
  </si>
  <si>
    <t>https://www.myfonts.com/pt/collections/the-bores-font-imoodev</t>
  </si>
  <si>
    <t>Scribble, Harvest, Fruit, Notes, Scrapbook, Canva, Sweet, Friendly, Doodle, Holiday, Whimsical, Procreate, Cricut, Funny, Baby, Christmas, Xmas, Cartoon, Pencil, Playground, Children, Kindergarten, School, Kids, Stationery, Mug, Sticker, Beverage Label, Baby Shower, Birthday, Sketch Style, Hand Drawn, Fun Decorative Letters, Greeting Card, Creative Handwritten, Friendly Style, Handwritten, Playful, Decorative, Cute</t>
  </si>
  <si>
    <t>Jolly Boogie</t>
  </si>
  <si>
    <t>imagens\Jolly_Boogie.png</t>
  </si>
  <si>
    <t>https://www.myfonts.com/pt/collections/jolly-boogie-font-brown-cupple-typeface</t>
  </si>
  <si>
    <t>Horror, Halloween, Blood, Creepy, Dark, Distressed, Evil, Ghost, Monster, Scary, Spooky, Thriller, Zombie</t>
  </si>
  <si>
    <t>Rosavello</t>
  </si>
  <si>
    <t>TypeClassHeroes</t>
  </si>
  <si>
    <t>Suandana ipandemade</t>
  </si>
  <si>
    <t>imagens\Rosavello.png</t>
  </si>
  <si>
    <t>https://www.myfonts.com/pt/collections/rosavello-font-typeclassheroes</t>
  </si>
  <si>
    <t>Decorative, Nostalgic, Victorian, Bold, Classic, Vintage, Groovy, Headline, Curly, Invitation, Elegant, Wedding, Brand Identity, Typography, Logotype, Tattoo, Fashion, Christmas, Blackletter, Textured</t>
  </si>
  <si>
    <t>Tangkurak</t>
  </si>
  <si>
    <t>imagens\Tangkurak.png</t>
  </si>
  <si>
    <t>https://www.myfonts.com/pt/collections/tangkurak-font-tini-fitriani</t>
  </si>
  <si>
    <t>Horror Font, Halloween, Fancy, Display, Spooky, Ghost, Heavy Metal, Witch, Mystery Font, Scary, Rock, Svg, Zombie Font, Black Metal, Boho Font, Boho, Hippie, Spooky Season, Haunted Font, October Font</t>
  </si>
  <si>
    <t>Ween Gothic</t>
  </si>
  <si>
    <t>Iron Set Studio</t>
  </si>
  <si>
    <t>Anton Kustsinski</t>
  </si>
  <si>
    <t>imagens\Ween_Gothic.png</t>
  </si>
  <si>
    <t>https://www.myfonts.com/pt/collections/ween-gothic-font-iron-set-studio</t>
  </si>
  <si>
    <t>Halloween Typeface, Halloween, Horror, Graffiti, Dripping, Scary, Grunge, Heavy Metal, Punk, Gothic, Street Art, Urban, Bold, Creepy, Spooky, Dark, Alternative, Decorative, Artistic, Extreme, Aggressive, Rebel, Halloween Typography</t>
  </si>
  <si>
    <t>Stain Street</t>
  </si>
  <si>
    <t>imagens\Stain_Street.png</t>
  </si>
  <si>
    <t>https://www.myfonts.com/pt/collections/stain-street-font-mans-greback</t>
  </si>
  <si>
    <t>Graffiti, Halloween, Blood, Horror, Movie Poster, Street Art, Sans-serif, Thriller, Dripping, Spraycan, Sprayed, Stencil</t>
  </si>
  <si>
    <t>Halista</t>
  </si>
  <si>
    <t>imagens\Halista.png</t>
  </si>
  <si>
    <t>https://www.myfonts.com/pt/collections/halista-font-dm-studio</t>
  </si>
  <si>
    <t>Halista Handwritten Font, Elegant Script Font, Modern Calligraphy Font, Wedding Invitation Font, Branding Font, Feminine Logo Font, Cursive Handwriting Font, Natural Flow Font, Signature-style Font, Chic Handwritten Typeface, Canva Script Font, Procreate Font, Digital Planner Font, Modern Handwritten Font, Stylish Handwriting Font, Blog Header Font, Minimal Script Font, Soft Calligraphy Font, Personal Use Font, Packaging Font</t>
  </si>
  <si>
    <t>Spok Creps</t>
  </si>
  <si>
    <t>Erifqizefont</t>
  </si>
  <si>
    <t>Eka Rifqi Setiawan</t>
  </si>
  <si>
    <t>imagens\Spok_Creps.png</t>
  </si>
  <si>
    <t>https://www.myfonts.com/pt/collections/spok-creps-font-erifqizefont</t>
  </si>
  <si>
    <t>Funky, Groovy, Retro, Playful, Bold, Display, Creative, Vintage, Artistic, Expressive, Handdrawn, Fun, Pop, Unique, Decorative, Cool, Youthful, Colorful, Party, Modern</t>
  </si>
  <si>
    <t>Sunday Coffee</t>
  </si>
  <si>
    <t>imagens\Sunday_Coffee.png</t>
  </si>
  <si>
    <t>https://www.myfonts.com/pt/collections/sunday-coffee-font-letterhend</t>
  </si>
  <si>
    <t>Dispaly Font, Cafe Branding, Cafe Font, Branding Font, Playful, Cozy, Buble, Coffee, Packaging</t>
  </si>
  <si>
    <t>Eugod Guedilk</t>
  </si>
  <si>
    <t>imagens\Eugod_Guedilk.png</t>
  </si>
  <si>
    <t>https://www.myfonts.com/pt/collections/eugod-guedilk-font-imoodev</t>
  </si>
  <si>
    <t>Beautiful, Classic, Wedding, Traditional, Pretty, Calligraphy, Handwriting, Cursive, Southeast Asian, Indonesia, Javanese Script, Aksara, Culture, Asian, Bali, Aesthetic, Psychedelic, Curvy, Art Nouveau, Boho, Bohemian, Javanese, Exotic, Serif Display, Nostalgic, Classy Serif, Ornamental, Boutique, Invitation, 70s, Whimsical, Handmade Style</t>
  </si>
  <si>
    <t>Morna Bold</t>
  </si>
  <si>
    <t>imagens\Morna_Bold.png</t>
  </si>
  <si>
    <t>https://www.myfonts.com/pt/collections/morna-bold-font-pandeka-studio</t>
  </si>
  <si>
    <t>Sans Serif, Modern Font, Geometric Font, Bold Typeface, Corporate Branding, Professional Typography, Clean Font, Display Sans, Minimalist Font, Bold Sans, Branding Typeface, Presentation Font, Modern Sans, Strong Logo, Business Font, Futuristic Font, Elegant Sans Serif, Modern Headline, Readable Font, Versatile Sans</t>
  </si>
  <si>
    <t>GC Calvo</t>
  </si>
  <si>
    <t>imagens\GC_Calvo.png</t>
  </si>
  <si>
    <t>https://www.myfonts.com/pt/collections/gc-calvo-font-onyx-studio</t>
  </si>
  <si>
    <t>Font, Sans Serif, Modern, Branding, Neutral, Bold, Bold Font, Helvetica, Typeface, Poster, Magazine, Creative, Clean Sans, Modern Sans, Display, Variable, Grotesk, Advertising, Web, Web Font</t>
  </si>
  <si>
    <t>Sogta</t>
  </si>
  <si>
    <t>imagens\Sogta.png</t>
  </si>
  <si>
    <t>https://www.myfonts.com/pt/collections/sogta-font-marvadesign</t>
  </si>
  <si>
    <t>Script, Retro, Classic, Playful, Branding, Logotype, Nostalgic, Display, Unique, Logo, Packaging, Lettering, Bold, Charm, Website, Book, Food, Poster, Brand, Trendy</t>
  </si>
  <si>
    <t>GC Ringa</t>
  </si>
  <si>
    <t>imagens\GC_Ringa.png</t>
  </si>
  <si>
    <t>https://www.myfonts.com/pt/collections/gc-ringa-font-onyx-studio</t>
  </si>
  <si>
    <t>Retro, Classy, Serif, Modern, Vintage, Fashion, Classic, Trendy, Stylish, Stylish Serif, Cool, Magazine, Font, Typeface, Canva, Tropical, Decorative, Display, Popular Font, Elegant</t>
  </si>
  <si>
    <t>Wet Marker</t>
  </si>
  <si>
    <t>imagens\Wet_Marker.png</t>
  </si>
  <si>
    <t>https://www.myfonts.com/pt/collections/wet-marker-font-mvmet</t>
  </si>
  <si>
    <t>Writing, Handwritten, Marker Pen, Authentic Handwriting, Handmade, Marker Script, Hand Script, Handwriting, Casual Handwriting, Bold, Daily Font, Book Fonts, Note Fonts, T-shirt Fonts, Back To School, Marker, Comic, Product, Packaging, Thick</t>
  </si>
  <si>
    <t>Malking</t>
  </si>
  <si>
    <t>imagens\Malking.png</t>
  </si>
  <si>
    <t>https://www.myfonts.com/pt/collections/malking-font-sensatype-studio</t>
  </si>
  <si>
    <t>Industrial, Tech Logo, Techno Font, Cyber, Tech, Techno, Modern, Futuristic, Logo, Digital, Bold, Startup, Display, Geometric, Clean, Minimal, Ui, Technology, Font</t>
  </si>
  <si>
    <t>Aesthetic Marker</t>
  </si>
  <si>
    <t>imagens\Aesthetic_Marker.png</t>
  </si>
  <si>
    <t>https://www.myfonts.com/pt/collections/aesthetic-marker-font-mvmet</t>
  </si>
  <si>
    <t>Writing, Authentic, Handwritten, Handmade, Daily Typing, Hand Lettering, Handwriting, Handmade Handwriting, School, Casual, Daily Font, Book Fonts, Note Fonts, Retro, Natural, Marker, Comic, Script, Calligraphy, Style</t>
  </si>
  <si>
    <t>Retro Bloodline</t>
  </si>
  <si>
    <t>imagens\Retro_Bloodline.png</t>
  </si>
  <si>
    <t>https://www.myfonts.com/pt/collections/retro-bloodline-font-brown-cupple-typeface</t>
  </si>
  <si>
    <t>Horror, Halloween, Blood, Creepy, Dark, Evil, Ghost, Groovy, Retro, Scary, Dripping, Spooky, Thriller, Poster</t>
  </si>
  <si>
    <t>Christmas California</t>
  </si>
  <si>
    <t>imagens\Christmas_California.png</t>
  </si>
  <si>
    <t>https://www.myfonts.com/pt/collections/christmas-california-font-yoga-letter</t>
  </si>
  <si>
    <t>Display, Holiday, Halloween, Christmas, Winter, Vacation, Thanksgiving</t>
  </si>
  <si>
    <t>Gresley Script</t>
  </si>
  <si>
    <t>imagens\Gresley_Script.png</t>
  </si>
  <si>
    <t>https://www.myfonts.com/pt/collections/gresley-script-font-cocodesign</t>
  </si>
  <si>
    <t>Calligraphy Font Script, Connected Font, Summer Font, Swashes Pua Encoded Alternates, Playful Fonts, Advanture Font, Couple Fonts, Cover Fonts, Craft Fonts, Elegant Fonts, Father's Day Fonts, Fun Fonts, Greeting Card Fonts, Stylish Fonts, T-shirt Fonts Unique Fonts, Script, Calligraphy, Test, Best, Font</t>
  </si>
  <si>
    <t>Crazy Cool</t>
  </si>
  <si>
    <t>imagens\Crazy_Cool.png</t>
  </si>
  <si>
    <t>https://www.myfonts.com/pt/collections/crazy-cool-font-epiclinez</t>
  </si>
  <si>
    <t>Brush Font, Bold Brush Typeface, Cool Font, Modern Brush Font, Edgy Font, Graffiti Font, Textured Font, Grunge Font, Display Font, Sports Font, Dynamic Typeface, Movie Poster Font, Gaming Font, Headline Font, Handmade Font, Logo Font, Branding Font, Expressive Font, Apparel Font, Product Packaging Font</t>
  </si>
  <si>
    <t>Winter Funny</t>
  </si>
  <si>
    <t>imagens\Winter_Funny.png</t>
  </si>
  <si>
    <t>https://www.myfonts.com/pt/collections/winter-funny-font-yoga-letter</t>
  </si>
  <si>
    <t>Display, Playful, Winter, Christmas, Halloween, Sticker, Logo</t>
  </si>
  <si>
    <t>Astheric</t>
  </si>
  <si>
    <t>Mantype Studio</t>
  </si>
  <si>
    <t>Sulai Man</t>
  </si>
  <si>
    <t>imagens\Astheric.png</t>
  </si>
  <si>
    <t>https://www.myfonts.com/pt/collections/astheric-font-mantype-studio</t>
  </si>
  <si>
    <t>Serif, Modern, Variable Font, Elegant, Classy, Display, Luxury, Branding, Editorial, Logo, Fashion, Vintage, Timeless, Bold, Italic, Typography</t>
  </si>
  <si>
    <t>Ronk Tuloki</t>
  </si>
  <si>
    <t>imagens\Ronk_Tuloki.png</t>
  </si>
  <si>
    <t>https://www.myfonts.com/pt/collections/ronk-tuloki-font-twinletter</t>
  </si>
  <si>
    <t>Font, Funky, Graffiti, Band, Bubbly, Unique, Emo, Bold, Psychedelic, Rebel, Chunky, Skate, Brutal, Rock, Hardcore, Trippy</t>
  </si>
  <si>
    <t>Battle Grid</t>
  </si>
  <si>
    <t>Beary</t>
  </si>
  <si>
    <t>Dian Haniffan Hadi</t>
  </si>
  <si>
    <t>imagens\Battle_Grid.png</t>
  </si>
  <si>
    <t>https://www.myfonts.com/pt/collections/battle-grid-font-beary</t>
  </si>
  <si>
    <t>Stencil, Stencil Font, Tactical, Army Font, Poster Font, Poster, Punk Rock</t>
  </si>
  <si>
    <t>Queen Ombre</t>
  </si>
  <si>
    <t>The Native Saint Club</t>
  </si>
  <si>
    <t>Bagas Ferdiansah</t>
  </si>
  <si>
    <t>imagens\Queen_Ombre.png</t>
  </si>
  <si>
    <t>https://www.myfonts.com/pt/collections/queen-ombre-font-the-native-saint-club</t>
  </si>
  <si>
    <t>Sans, Geometric, Display, Modern, Retro, Vintage, Bold Font, Logo Font, Branding Font, Poster Font, Headline Font, Stylish Font, Elegant Font, Minimal Font, Futuristic Font, Creative Font, Art Deco Font, Bold Display Font, Versatile Display Font, Sans Serif</t>
  </si>
  <si>
    <t>Kiteflight</t>
  </si>
  <si>
    <t>BondanGail</t>
  </si>
  <si>
    <t>Bondan Gail Saputro</t>
  </si>
  <si>
    <t>imagens\Kiteflight.png</t>
  </si>
  <si>
    <t>https://www.myfonts.com/pt/collections/kiteflight-font-bondangail</t>
  </si>
  <si>
    <t>Retro Font, Groovy Font, Bold Display Font, Summer Font, Playful Font, 70s Style Font, Psychedelic Font, Funky Lettering, Hand-drawn Type, Decorative Display Font, Retro Display Typeface, Cheerful Font, Organic Curves Font, Headline Font, Festival Poster Font, Warm Vintage Font, Branding Font, Creative Display Font, Wavy Letterforms, Unique Display Type</t>
  </si>
  <si>
    <t>Okina</t>
  </si>
  <si>
    <t>imagens\Okina.png</t>
  </si>
  <si>
    <t>https://www.myfonts.com/pt/collections/okina-font-pandeka-studio</t>
  </si>
  <si>
    <t>Food Font, Bold, Playful, Chunky, Retro, Display, Quirky, Fun, Tasty, Restaurant, Menu, Packaging, Branding, Modern, Round, Creative, Logo, Snack, Typography, Cafe, Bakery, Poster, Delicious, Food Branding, Social Media, Handmade, Friendly, Dessert, Cute, Vintage</t>
  </si>
  <si>
    <t>Fd Foun</t>
  </si>
  <si>
    <t>Fortunes Co</t>
  </si>
  <si>
    <t>Ramandhani Nugraha</t>
  </si>
  <si>
    <t>imagens\Fd_Foun.png</t>
  </si>
  <si>
    <t>https://www.myfonts.com/pt/collections/fd-foun-font-fortunes-co</t>
  </si>
  <si>
    <t>Modern Font, Retro Font, Condensed Font, Display Font, Sport Font, Athletic Typeface, Techno Font, Futuristic Font, Headline Font, Poster Font, Branding Font, Logo Font, Urban Typeface, Bold Sans Serif, Minimal Font, Modern Condensed, Retro Condensed, Geometric Font</t>
  </si>
  <si>
    <t>Barlin Vintage</t>
  </si>
  <si>
    <t>Deorde Studio</t>
  </si>
  <si>
    <t>Teuku Syarkawi</t>
  </si>
  <si>
    <t>imagens\Barlin_Vintage.png</t>
  </si>
  <si>
    <t>https://www.myfonts.com/pt/collections/barlin-vintage-font-deorde-studio</t>
  </si>
  <si>
    <t>Retro Fonts, Groovy Fonts, Vintage Fonts, Display Fonts, Nostalgia Fonts, Craft Fonts, Sublimation Fonts, Svg Fonts, Cricut Fonts, Modern Fonts, Fashion Fonts, Branding Fonts, Unique Fonts, Print Fonts, Stylish Fonts, Elegant Fonts, Tshirt Fonts, Banner Fonts, Social Media Fonts, Serif Fonts</t>
  </si>
  <si>
    <t>Now is Byolka</t>
  </si>
  <si>
    <t>Ekahermawan</t>
  </si>
  <si>
    <t>Putu Eka Hermawan</t>
  </si>
  <si>
    <t>imagens\Now_is_Byolka.png</t>
  </si>
  <si>
    <t>https://www.myfonts.com/pt/collections/now-is-byolka-font-ekahermawan</t>
  </si>
  <si>
    <t>New Font, Typeface, Condensed Font, Display Font, Bold Font, Branding, Type Design, Vintage, Logo Font, Ligature Font, Heading, Vintage Fonts, Typography, Sans, Font Poster</t>
  </si>
  <si>
    <t>Witchcrawl</t>
  </si>
  <si>
    <t>imagens\Witchcrawl.png</t>
  </si>
  <si>
    <t>https://www.myfonts.com/pt/collections/witchcrawl-font-brown-cupple-typeface</t>
  </si>
  <si>
    <t>Halloween, Horror, Spooky, Display, Decorative, Distressed, Creepy, Dark, Evil, Ghost, Monster, Scary, Thriller, Zombie, Poster</t>
  </si>
  <si>
    <t>LT Shuffle</t>
  </si>
  <si>
    <t>Local Type Co.</t>
  </si>
  <si>
    <t>João Luiz Wittkowski</t>
  </si>
  <si>
    <t>imagens\LT_Shuffle.png</t>
  </si>
  <si>
    <t>https://www.myfonts.com/pt/collections/lt-shuffle-font-local-type-co</t>
  </si>
  <si>
    <t>Bold Display Font, Fun Typeface, Playful Sans Serif, Geometric Display Font, Modern Rounded Font, Retro Inspired Font, Groovy Font, Summer Font, Youth Branding Typeface, Dynamic Headline Font, Bubble Font, Friendly Logo Font, Quirky Sans Serif, Vibrant Poster Font, All Caps Display Font, Social Media Font, Colorful Typography, Creative Branding Font, Festival Style Typeface, Multilingual Display Font</t>
  </si>
  <si>
    <t>Flowtica</t>
  </si>
  <si>
    <t>limitype</t>
  </si>
  <si>
    <t>Muhammad Muammar</t>
  </si>
  <si>
    <t>imagens\Flowtica.png</t>
  </si>
  <si>
    <t>https://www.myfonts.com/pt/collections/flowtica-font-limitype</t>
  </si>
  <si>
    <t>Groovy, Funky, Psychedelic, Bold, Playful, Bubbly, Bubble, Puffy, Retro, Vintage, Poster, Cover, Display, Creative, Fun, Design, Modern, Letters, Headline, Visual</t>
  </si>
  <si>
    <t>Burgos</t>
  </si>
  <si>
    <t>imagens\Burgos.png</t>
  </si>
  <si>
    <t>https://www.myfonts.com/pt/collections/burgos-font-the-native-saint-club</t>
  </si>
  <si>
    <t>Typeface, Font, Lettering, Design, Retrofont, Vintagefont, Logotype, Branding, Logo, Creativefont, Display, Bold, Groovy, Posterdesign, Packagingdesign, Typography, Modern, Stylish, Decorative, Serif</t>
  </si>
  <si>
    <t>Kindly Rumina</t>
  </si>
  <si>
    <t>Luminatype Studio</t>
  </si>
  <si>
    <t>Bias Surya Buana</t>
  </si>
  <si>
    <t>imagens\Kindly_Rumina.png</t>
  </si>
  <si>
    <t>https://www.myfonts.com/pt/collections/kindly-rumina-font-luminatype-studio</t>
  </si>
  <si>
    <t>Chunk, Bold, Retro, Branding, Condensed, Fun, Product, License, Rounded, Slant, Psychedelic, Funky, Bold Display, Headline Font, Poster Font, Packaging Font, Stylish Font, Modern</t>
  </si>
  <si>
    <t>Kitora</t>
  </si>
  <si>
    <t>imagens\Kitora.png</t>
  </si>
  <si>
    <t>https://www.myfonts.com/pt/collections/kitora-font-limitype</t>
  </si>
  <si>
    <t>Bold, Rounded, Modern, Playful, Friendly, Strong, Warm, Fat, Extra Bold, Condensed, Extended, Chubby, Big, Large, Branding, Funky, Magazine, Heavy, Food, Headline</t>
  </si>
  <si>
    <t>Boldnova</t>
  </si>
  <si>
    <t>imagens\Boldnova.png</t>
  </si>
  <si>
    <t>https://www.myfonts.com/pt/collections/boldnova-font-limitype</t>
  </si>
  <si>
    <t>Bold, Rounded, Posters, Fat, Extrabold, Condensed, Extended, Chubby, Big, Large, Branding, Sans, Funky, Magazine, Heavy, Strong, Food, Playful, Vintage, Retro</t>
  </si>
  <si>
    <t>Comport Beauty</t>
  </si>
  <si>
    <t>imagens\Comport_Beauty.png</t>
  </si>
  <si>
    <t>https://www.myfonts.com/pt/collections/comport-beauty-font-bale-type</t>
  </si>
  <si>
    <t>Elegant Fonts, Fancy Fonts, Serif Fonts, Modern Fonts, Wedding, Classic, Magazine, Didot, Classy, Fashionable, Fashion Fonts, Branding, Women, Logo, Masculine, Feminine, Attractive, Display Fonts, Font Duo, Script Fonts</t>
  </si>
  <si>
    <t>Avires</t>
  </si>
  <si>
    <t>imagens\Avires.png</t>
  </si>
  <si>
    <t>https://www.myfonts.com/pt/collections/avires-font-ragamkata</t>
  </si>
  <si>
    <t>Luxury Font, Classy Font, Elegant Font, Mdoern Font, Ligature Font, Fashion Font, Magazine Font, Beauty Font, Branding Font, Wedding Font, Invitation Font, Logo Font, Sophiscated Font, Boutique Font, Creative Font, Versatile Font, Chic Font, Premium Font, Elegant Serif, Luxury Serif, Modern Serif, Ligature Serif, Display Font, Wedding Serif</t>
  </si>
  <si>
    <t>DKS Hillant</t>
  </si>
  <si>
    <t>imagens\DKS_Hillant.png</t>
  </si>
  <si>
    <t>https://www.myfonts.com/pt/collections/dks-hillant-font-dikas-studio</t>
  </si>
  <si>
    <t>Condensed, Serif, Elegant, Rough, Hand, Draw, Luxury, Fashion, Logo, Vintage, Old, Display, Scary, Aesthetic, Stylish, Invitation, Fancy</t>
  </si>
  <si>
    <t>Mazestic Sans</t>
  </si>
  <si>
    <t>Lemon Studio Type</t>
  </si>
  <si>
    <t>Herpin Maulana</t>
  </si>
  <si>
    <t>imagens\Mazestic_Sans.png</t>
  </si>
  <si>
    <t>https://www.myfonts.com/pt/collections/mazestic-sans-font-lemon-studio-type</t>
  </si>
  <si>
    <t>elegant, elegant font, elegant fonts, elegant sans serif, fahion, modern sans serif, unique sans, geometric-sans, sanserif, sans serif, sans-serif, sans modern, sans serif font, sans serif typeface, display sans, geometric sans, humanist sans, new sans serif, legible</t>
  </si>
  <si>
    <t>Xororosi</t>
  </si>
  <si>
    <t>Canden Meutuah</t>
  </si>
  <si>
    <t>imagens\Xororosi.png</t>
  </si>
  <si>
    <t>https://www.myfonts.com/pt/collections/xororosi-font-canden-meutuah</t>
  </si>
  <si>
    <t>Font, Script, Handwritten, Typeface, Modern Script, Fonts</t>
  </si>
  <si>
    <t>Cezanne</t>
  </si>
  <si>
    <t>https://www.myfonts.com/pt/collections/cezanne-font-fontworks</t>
  </si>
  <si>
    <t>Nalte Sans</t>
  </si>
  <si>
    <t>imagens\Nalte_Sans.png</t>
  </si>
  <si>
    <t>https://www.myfonts.com/pt/collections/nalte-sans-font-lettertype-studio</t>
  </si>
  <si>
    <t>Minimal, Bold, Branding, Display, Headline, Logo, Logotype, Brand Identity, Clean, Modern, Geometric, Corporate, Editorial, Poster, Sleek</t>
  </si>
  <si>
    <t>Defilao Vertes</t>
  </si>
  <si>
    <t>imagens\Defilao_Vertes.png</t>
  </si>
  <si>
    <t>https://www.myfonts.com/pt/collections/defilao-vertes-font-tini-fitriani</t>
  </si>
  <si>
    <t>Serif, Display, Retro, Vintage, 80s, 90s, Boho Font, Hipster, Nostalgic, Vintage Serif, Hippie, Old School, Modern Font, Classic, Logotype, Headline, Wedding Serif, Magazine, Wedding Font, Invitation Font, Stylish Font, Trendy, Rich, Mode, Branding</t>
  </si>
  <si>
    <t>Inword</t>
  </si>
  <si>
    <t>imagens\Inword.png</t>
  </si>
  <si>
    <t>https://www.myfonts.com/pt/collections/inword-font-vermilione</t>
  </si>
  <si>
    <t>Serif Font, Modern Font, Slice Font, Luxury Font, Stylish Font, Creative Font, Classy Font, Elegant Font, Branding Font, Fashion Font, Minimal Font, Timeless Font, Editorial Font, Chic Font, Premium Font, Sophiscated Font, Serif, Modern, Display, Bold Font, Mdoern Serif, Slice Serif, Luxury Serif, Elegant Serif, Cclassy Serif, Timeless Serif, Font, Typeface, Serif Typeface, Branding, Timeless, Elegant, Luxury, Premium, Classy, Chic, Fashion, Minimal, Creative</t>
  </si>
  <si>
    <t>Monotrax</t>
  </si>
  <si>
    <t>JprintStudio</t>
  </si>
  <si>
    <t>Gais Zaelani</t>
  </si>
  <si>
    <t>imagens\Monotrax.png</t>
  </si>
  <si>
    <t>https://www.myfonts.com/pt/collections/monotrax-font-jprintstudio</t>
  </si>
  <si>
    <t>Monoline, Sans Serif, Modern, Minimal, Clean, Simple, Elegant, Geometric, Linear, Stylish, Timeless, Versatile, Corporate, Contemporary, Display, Headline, Logo, Branding, Typography, Digital, Webfont, Sleek, Neutral, Professional, Lightweight, Clear, Poster, Magazine, Editorial, Design</t>
  </si>
  <si>
    <t>Madion</t>
  </si>
  <si>
    <t>Mokatype Studio</t>
  </si>
  <si>
    <t>Abdul Malik Wisnu</t>
  </si>
  <si>
    <t>imagens\Madion.png</t>
  </si>
  <si>
    <t>https://www.myfonts.com/pt/collections/madion-font-mokatype-studio</t>
  </si>
  <si>
    <t>Sans, Family, Brand, Formal, Trendfont, Newfont, Freshfont, Webdesign, Headline, Bodytext, Multipurpose, Design, Display, Packaging, Modern, Future, Corporate, Bussiness, Digital Font, Editorial</t>
  </si>
  <si>
    <t>Velantra</t>
  </si>
  <si>
    <t>imagens\Velantra.png</t>
  </si>
  <si>
    <t>https://www.myfonts.com/pt/collections/velantra-font-rndi-type-foundry</t>
  </si>
  <si>
    <t>Sans Serif, Grotesk, Strong, Funny, Geometric, Groteskque, Modern, Book, Desiplay, Ads</t>
  </si>
  <si>
    <t>Better Moments</t>
  </si>
  <si>
    <t>Negara Studio</t>
  </si>
  <si>
    <t>Anugerah Negara</t>
  </si>
  <si>
    <t>imagens\Better_Moments.png</t>
  </si>
  <si>
    <t>https://www.myfonts.com/pt/collections/better-moments-font-negara-studio</t>
  </si>
  <si>
    <t>Handwritten, Handwriting, Handdrawn, Script, Display, Casual, Playful, Doodle, Chalk, Crayon, Textured, Brush, Imperfect, Messy, Organic, Natural, Artistic, Creative, Travel, Book, Poster, Book Cover, Packaging, Label, Logo, Title, Branding, Greeting Card, Invitation, Headline, Craft, Kids, Fun, DIY, Sign, Cafe, Bakery, Multilingual, Oblique, Italic, Ligature, Smooth, Rought, Textured Font, Handmade Font, Unique, Versatile, Modern, Friendly, Trendy, Realistic</t>
  </si>
  <si>
    <t>Money Penny</t>
  </si>
  <si>
    <t>imagens\Money_Penny.png</t>
  </si>
  <si>
    <t>https://www.myfonts.com/pt/collections/money-penny-font-ian-barnard</t>
  </si>
  <si>
    <t>Script Font, Rose Gold Font, Signature Font, Calligraphy Font, Handwritten Font, Sans Serif, Script, Elegant Script, Flowing Script, Wedding, Invitation Font, Sophisticated Font, Beauty Branding, Fashion Font, Display Font, Greeting Card Font, Social Media Font, Instagram Font, Matching Typefaces, Logo Font, Branding Font</t>
  </si>
  <si>
    <t>Voltava Sans Variable</t>
  </si>
  <si>
    <t>Monotype</t>
  </si>
  <si>
    <t>Steve Matteson</t>
  </si>
  <si>
    <t>Oct 21, 2025</t>
  </si>
  <si>
    <t>https://www.myfonts.com/pt/collections/voltava-sans-variable-font-monotype-imaging</t>
  </si>
  <si>
    <t>Voltava Sans</t>
  </si>
  <si>
    <t>https://www.myfonts.com/pt/collections/voltava-sans-font-monotype-imaging</t>
  </si>
  <si>
    <t>Voltava Serif Variable</t>
  </si>
  <si>
    <t>https://www.myfonts.com/pt/collections/voltava-serif-variable-font-monotype-imaging</t>
  </si>
  <si>
    <t>Voltava Serif</t>
  </si>
  <si>
    <t>https://www.myfonts.com/pt/collections/voltava-serif-font-monotype-imaging</t>
  </si>
  <si>
    <t>Voltava Script</t>
  </si>
  <si>
    <t>https://www.myfonts.com/pt/collections/voltava-script-font-monotype-imaging</t>
  </si>
  <si>
    <t>OHcrumbs</t>
  </si>
  <si>
    <t>Jointype</t>
  </si>
  <si>
    <t>Jeremy Gill-Praba</t>
  </si>
  <si>
    <t>Oct 20, 2025</t>
  </si>
  <si>
    <t>imagens\OHcrumbs.png</t>
  </si>
  <si>
    <t>https://www.myfonts.com/pt/collections/ohcrumbs-font-jointype</t>
  </si>
  <si>
    <t>Crumbs, Font, Lettering, Jgp, Jointtype, Jointype, Biscuit, Bloomers, Bread, Crumpet</t>
  </si>
  <si>
    <t>Tharo</t>
  </si>
  <si>
    <t>Pista Mova</t>
  </si>
  <si>
    <t>Haikal Juanda</t>
  </si>
  <si>
    <t>imagens\Tharo.png</t>
  </si>
  <si>
    <t>https://www.myfonts.com/pt/collections/tharo-font-pista-mova</t>
  </si>
  <si>
    <t>Superfamily, Display, Italic, Sans Serif, Sans Serif Display, Font Family, Branding Font, Minimal Font, Minimal FontSans Serif Family, Editorial, Grotesk, Web, Opentype, Variable, Industry, Simple, App, Unique, Neue, Condensed, Italic Family, Regular Family</t>
  </si>
  <si>
    <t>Randuel</t>
  </si>
  <si>
    <t>imagens\Randuel.png</t>
  </si>
  <si>
    <t>https://www.myfonts.com/pt/collections/randuel-font-vermilione</t>
  </si>
  <si>
    <t>Blackletter Font, Display Font, Tattoo Font, Calligraphy Font, Vintage Font, Decorative Font, Ornamental Font, Classic Font, Oldschool, Graffiti Font, Strong Font, Fancy Font, Dark Font, Black Font, Typeface, Gothic Font, Blackletter, Display, Modern Font, Tattoo, Calligraphy, Decorative, Vintage, Retro, Ornamental, Branding Font, Halloween, Halloween Font, Horror Font, Horror, Spooky Font, Spooky, Cool Font</t>
  </si>
  <si>
    <t>Bazig</t>
  </si>
  <si>
    <t>Sealoung</t>
  </si>
  <si>
    <t>Saiful Anwar</t>
  </si>
  <si>
    <t>imagens\Bazig.png</t>
  </si>
  <si>
    <t>https://www.myfonts.com/pt/collections/bazig-font-sealoung</t>
  </si>
  <si>
    <t>Sans Serif, Modern Sans, Elegant Sans, Corporate, Business, Headlines, Advertising, Logotype, Branding, Casual, Movies, Sport, Gaming, Clean, Versatile, Family</t>
  </si>
  <si>
    <t>Gregory</t>
  </si>
  <si>
    <t>imagens\Gregory.png</t>
  </si>
  <si>
    <t>https://www.myfonts.com/pt/collections/gregory-font-imoodev</t>
  </si>
  <si>
    <t>Hand Lettering, Handwritten, Procreate, Fun, Food, Kids, Children, Baby, Nursery, Friendly, Whimsical, School, Craft, Quotes, Social Media, Cricut, Sweet, Casual, Cartoon, Greeting Card, Food Packaging, Happy, Funny, Playful, Cute, Baby Shower, Pet Care, Christmas, Snacks, Ice Cream, Chocolate, DIY</t>
  </si>
  <si>
    <t>Paquero</t>
  </si>
  <si>
    <t>Propertype</t>
  </si>
  <si>
    <t>Nadia Auliana</t>
  </si>
  <si>
    <t>imagens\Paquero.png</t>
  </si>
  <si>
    <t>https://www.myfonts.com/pt/collections/paquero-font-propertype</t>
  </si>
  <si>
    <t>Serif, Clean, Legible, Casual, Heading, Visual, Humanist, Grotesque, Oblique, Slanted, Italic, Teks, Headlines, Titles, Branding, Digital-ads, Display, Screens, Servers, Printing, Systems, Websites, Arrows, Ordinals, Fractions, Decorative, Informal, Fashionable, Certificate, Poster, Commercial, Vacation, Food, Money, Rounded, Jewelry, Bouncy, Spray, Crafts, Lettering, Label, Nature, Cosmetics, Magazine, Perfume, Soft, Kids</t>
  </si>
  <si>
    <t>Mugen Grotesk</t>
  </si>
  <si>
    <t>Font Workshop</t>
  </si>
  <si>
    <t>Suci Indah Sari</t>
  </si>
  <si>
    <t>imagens\Mugen_Grotesk.png</t>
  </si>
  <si>
    <t>https://www.myfonts.com/pt/collections/mugen-grotesk-font-font-workshop</t>
  </si>
  <si>
    <t>Modern Sans-Serif, Geometric Typeface, Eurostile Inspired, Contemporary, Squared Letterforms, Rounded Corners, Industrial Aesthetic, Futuristic Font, Branding Typeface, Editorial Design, UI Font, Display Typeface, Bold Headlines, Clean, Timeless</t>
  </si>
  <si>
    <t>Royale Archive</t>
  </si>
  <si>
    <t>imagens\Royale_Archive.png</t>
  </si>
  <si>
    <t>https://www.myfonts.com/pt/collections/royale-archive-font-timelesstype-studio</t>
  </si>
  <si>
    <t>Elegant Display Serif, Luxury Serif, Brand, Elegant, Packaging, Wedding, Branding, Logo, Fashion, Innvitations, Headlines, Trend, Sophisticated, Display, Promotion</t>
  </si>
  <si>
    <t>Funky Nights Vintage</t>
  </si>
  <si>
    <t>imagens\Funky_Nights_Vintage.png</t>
  </si>
  <si>
    <t>https://www.myfonts.com/pt/collections/funky-nights-vintage-font-timelesstype-studio</t>
  </si>
  <si>
    <t>Modern Alternate Serif, Luxury, Serif, Brand, Logo, Branding, Sans, Display, Clothing, Trend, Promotion</t>
  </si>
  <si>
    <t>Burst Merch</t>
  </si>
  <si>
    <t>imagens\Burst_Merch.png</t>
  </si>
  <si>
    <t>https://www.myfonts.com/pt/collections/burst-merch-font-timelesstype-studio</t>
  </si>
  <si>
    <t>Display Sans Serif, Luxury Sans Serif, Display, Sans, Brand, Luxury, Trend, Fashion, Logo, Branding, Promotion</t>
  </si>
  <si>
    <t>Trifullnt</t>
  </si>
  <si>
    <t>imagens\Trifullnt.png</t>
  </si>
  <si>
    <t>https://www.myfonts.com/pt/collections/trifullnt-font-erifqizefont</t>
  </si>
  <si>
    <t>Sans Serif, Ligature, Futuristic, Geometric, Technology, Cyberpunk, Display, Modern, Digital, Techno, SciFi, Branding, Ui, Advertising, Gadget, Electronic, Car, Startup, Logo, Bold</t>
  </si>
  <si>
    <t>Azly</t>
  </si>
  <si>
    <t>imagens\Azly.png</t>
  </si>
  <si>
    <t>https://www.myfonts.com/pt/collections/azly-font-erifqizefont</t>
  </si>
  <si>
    <t>Groovy, Bubble, Playful, Fun, Kids, Children, Ballon, Fat, Chubby, Poster, Advertising, Fancy, Bubblegum, Funny</t>
  </si>
  <si>
    <t>Kiladisk</t>
  </si>
  <si>
    <t>imagens\Kiladisk.png</t>
  </si>
  <si>
    <t>https://www.myfonts.com/pt/collections/kiladisk-font-imoodev</t>
  </si>
  <si>
    <t>Certificate, Islamic Quote, Middle Eastern, Arabic Style, Calligraphy, Kufi, Headline, Fashion, Luxury, Modern Typeface, Art Deco, Blackletter, Nature, Islamic, Arabic, Muslim, Ramadan, Mubarak, Eid, Logotype</t>
  </si>
  <si>
    <t>Rowina</t>
  </si>
  <si>
    <t>Oct 30, 2025</t>
  </si>
  <si>
    <t>imagens\Rowina.png</t>
  </si>
  <si>
    <t>https://www.myfonts.com/pt/collections/rowina-font-burntilldead</t>
  </si>
  <si>
    <t>Western Font, Vintage Font, Cowboy Font, Wild West Font, Retro Font, Display Font, Retro Display Font, Saloon Font, Whiskey Label, Extrude Font, Inline Font, Serif Font, Serif Display Font, Poster Font, Old West Font, Classic Font, Classic Cowboy Font, Layered Font, Branding, Logo Font</t>
  </si>
  <si>
    <t>Vagento</t>
  </si>
  <si>
    <t>imagens\Vagento.png</t>
  </si>
  <si>
    <t>https://www.myfonts.com/pt/collections/vagento-font-burntilldead</t>
  </si>
  <si>
    <t>Art Deco, Vintage Font, Display Font, Vintage Display Font, Luxury Font, Elegant Font, Elegant Logo Font, Layered Font, Deco Font, Deco Display Font, Art Deco Font, Art Deco Typography, Stylish Font, Stylish Headline Font, Headline Font, Vintage Poster Font, Poster Font, Wedding Font, Editorial Display Font, Editorial Font</t>
  </si>
  <si>
    <t>Castrell</t>
  </si>
  <si>
    <t>IKIIKOWRK</t>
  </si>
  <si>
    <t>Andhika Pradana</t>
  </si>
  <si>
    <t>imagens\Castrell.png</t>
  </si>
  <si>
    <t>https://www.myfonts.com/pt/collections/castrell-font-ikiikowrk</t>
  </si>
  <si>
    <t>70s, Soul, Exotic, 70s Retro, 70s Vibes, Party, Retro, Funk, Funk Font, Funk Vibes, Exotic Font, Dance, Dance Font, Disco Font, Vintage, Vintage Logo, Poster, Poster Font</t>
  </si>
  <si>
    <t>Delosue Japanese Style</t>
  </si>
  <si>
    <t>imagens\Delosue_Japanese_Style.png</t>
  </si>
  <si>
    <t>https://www.myfonts.com/pt/collections/delosue-japanese-style-font-bayuktx</t>
  </si>
  <si>
    <t>Japanese, Font, Typography, Japan, Modern, Culture, Traditional, Typeface, Chinese, Restaurant, Food, Poster, Template, Menu, Label, Logotype, Decorative, Samurai, Oriental, Kawaii</t>
  </si>
  <si>
    <t>Jagat Bumi</t>
  </si>
  <si>
    <t>Laroyba Type</t>
  </si>
  <si>
    <t>Habib Abdur Rofi</t>
  </si>
  <si>
    <t>Oct 29, 2025</t>
  </si>
  <si>
    <t>imagens\Jagat_Bumi.png</t>
  </si>
  <si>
    <t>https://www.myfonts.com/pt/collections/jagat-bumi-font-laroyba-type</t>
  </si>
  <si>
    <t>Script Font, Calligraphy Font, Handwritten Font, Modern Script, Elegant Script Font, Stylish Font, Cursive Font, Outline Font, Casual Script, Signature Font, Wedding Font, Beauty Logo Font, Fashion Branding Font, Handmade Font, Feminine Font, Lettering Font, Romantic Font, Multilingual Font, Luxury Script Font, Modern Calligraphy</t>
  </si>
  <si>
    <t>ZP Toil Trouble 2</t>
  </si>
  <si>
    <t>imagens\ZP_Toil_Trouble_2.png</t>
  </si>
  <si>
    <t>https://www.myfonts.com/pt/collections/zp-toil-trouble-2-font-lettering-delights</t>
  </si>
  <si>
    <t>Hand-crafted, Halloween, Spooky, Scary, Creepy, Haunted, Web, Webbing, Handwritten, Hand-written, Handwriting, Hand-writing, Hand Writing, Script, Cursive, Font Duo, Font Sisters, Font Savings, Font Pairs</t>
  </si>
  <si>
    <t>Auralic</t>
  </si>
  <si>
    <t>Black Studio</t>
  </si>
  <si>
    <t>Reza Haitami</t>
  </si>
  <si>
    <t>imagens\Auralic.png</t>
  </si>
  <si>
    <t>https://www.myfonts.com/pt/collections/auralic-font-black-studio</t>
  </si>
  <si>
    <t>Serif, Variable Font, Elegant, Editorial, Luxury, Modern, Headline, Branding, Fashion, Classic, Magazine, Sophisticated, Multilingual, Font Family, Latin Extended, Logotype, Corporate, Packaging, Invitation, Beauty, Lifestyle, Quotes, Book Cover, High Contrast, Legible, Typeface, Professional, Stylish, Cleanopentype, Glyphs, Clean, Typography, Typedesign, Webfont, Text, Book, Bussines, Weight, Width, Italic, Contrast, Family</t>
  </si>
  <si>
    <t>Story Guard Variable</t>
  </si>
  <si>
    <t>Sign Studio</t>
  </si>
  <si>
    <t>Sugi Yanto</t>
  </si>
  <si>
    <t>imagens\Story_Guard_Variable.png</t>
  </si>
  <si>
    <t>https://www.myfonts.com/pt/collections/story-guard-variable-font-sign-studio</t>
  </si>
  <si>
    <t>Contemporary Sans Serif, Display Sans, Modern Typography, Editorial Typeface, Branding Font, Geometric Sans, Minimal Design, Logo Typeface, Elegant Sans Serif, Clean Modern Font, Book Title Font, Refined Type Design, Sophisticated Sans, Versatile Display Font, Modernist Typography, Humanist Sans, Professional Branding Font, Timeless Sans Serif, Minimalist Typography, Variable Font Family</t>
  </si>
  <si>
    <t>Estrader</t>
  </si>
  <si>
    <t>Almeera Studio</t>
  </si>
  <si>
    <t>Rinto Dwi Nugroho</t>
  </si>
  <si>
    <t>imagens\Estrader.png</t>
  </si>
  <si>
    <t>https://www.myfonts.com/pt/collections/estrader-font-almeera-studio</t>
  </si>
  <si>
    <t>Script, Calligraphy, Handwritten, Elegant, Modern, Cursive, Signature, Feminine, Wedding, Logotype, Font, Romantic, Stylish, Beauty, Branding, Modern Script, Elegant Calligraphy, Handwritten Script, Natural Handwriting, Calligraphy Font</t>
  </si>
  <si>
    <t>Bunnathikarn</t>
  </si>
  <si>
    <t>imagens\Bunnathikarn.png</t>
  </si>
  <si>
    <t>https://www.myfonts.com/pt/collections/bunnathikarn-font-jipatype</t>
  </si>
  <si>
    <t>Sans Serif, High Contrast, Display, Luxury, Elegant, Modern, Thai, Headline, Branding, Magazine, Sleek, Premium, Contemporary, Geometric, Editorial</t>
  </si>
  <si>
    <t>Launry</t>
  </si>
  <si>
    <t>Catalystco Std</t>
  </si>
  <si>
    <t>imagens\Launry.png</t>
  </si>
  <si>
    <t>https://www.myfonts.com/pt/collections/launry-font-catalystco-std</t>
  </si>
  <si>
    <t>Sans, Light, Modern, Minimalist, Geometric, Futuristic, Linear, Elegant, Refined, Contemporary, Luxury, Branding, Typography, Editorial, Sleek, Fashion</t>
  </si>
  <si>
    <t>Foilathe</t>
  </si>
  <si>
    <t>imagens\Foilathe.png</t>
  </si>
  <si>
    <t>https://www.myfonts.com/pt/collections/foilathe-font-tini-fitriani</t>
  </si>
  <si>
    <t>Serif, Display, Elegant, Modern Font, Wedding, Luxury, Logotype, Headline, Elegant Serif, Wedding Serif, Magazine, Wedding Font, Beautiful, Stylish Font, Rich, Mode, Feminime, Glamour, Elegant Typeface, Serif Typeface</t>
  </si>
  <si>
    <t>Jhonatam Kuryta</t>
  </si>
  <si>
    <t>imagens\Jhonatam_Kuryta.png</t>
  </si>
  <si>
    <t>https://www.myfonts.com/pt/collections/jhonatam-kuryta-font-ayska</t>
  </si>
  <si>
    <t>Website Font, Casual Script, Text, Logotype, Typeface, Typography, Invitation, Type, Natural, Hand Lettering, Swashes, Cursive Font, Hand Lettered Font, Branding, Handwriting, Ligatures, Swash, Chic Font, Stylish Font, Elegant Font</t>
  </si>
  <si>
    <t>Ratinel Boldies</t>
  </si>
  <si>
    <t>imagens\Ratinel_Boldies.png</t>
  </si>
  <si>
    <t>https://www.myfonts.com/pt/collections/ratinel-boldies-font-letterena-studios</t>
  </si>
  <si>
    <t>Luxury Branding, Packaging Design, Wedding Stationery, Invitations, Product Labeling, Social Media Graphics, Editorial Design, Logotype, Handwritten Script, Ink Texture, Bold, Free-Flowing, Elegant, Sophisticated, Organic, Personalized</t>
  </si>
  <si>
    <t>Pamric Mevira</t>
  </si>
  <si>
    <t>imagens\Pamric_Mevira.png</t>
  </si>
  <si>
    <t>https://www.myfonts.com/pt/collections/pamric-mevira-font-letterena-studios</t>
  </si>
  <si>
    <t>Handwritten Ink Font, Luxury Script, Elegant, Web, Fashion, Elegant Font, Website, Trend, Promotion, Handwritten Script, High-Contrast, Luxurious, Ink Brush, Authentic, Sophisticated</t>
  </si>
  <si>
    <t>Zenicka</t>
  </si>
  <si>
    <t>imagens\Zenicka.png</t>
  </si>
  <si>
    <t>https://www.myfonts.com/pt/collections/zenicka-font-catalystco-std</t>
  </si>
  <si>
    <t>Serif, Light, Elegant, Minimal, Refined, Modern, Luxury, Artistic, Timeless, Fashion, Jewelry, Classic, Sophisticated</t>
  </si>
  <si>
    <t>Cooglatt</t>
  </si>
  <si>
    <t>Hasnat Studio</t>
  </si>
  <si>
    <t>Hasnat Khan</t>
  </si>
  <si>
    <t>imagens\Cooglatt.png</t>
  </si>
  <si>
    <t>https://www.myfonts.com/pt/collections/cooglatt-font-hasnat-studio</t>
  </si>
  <si>
    <t>Branding Serif, Logo Typography, Contemporary Serif, Editorial Font, Fashion Font, Elegant Design, Timeless Serif, Creative Branding, Printed Design, Professional Serif, Classic Lettering, Premium Typeface, Artistic Serif, Luxury Font, Book Cover Font, Fashion Magazine, Refined Lettering, Luxury Packaging, Headline Serif, Modern Branding</t>
  </si>
  <si>
    <t>Ratheylin</t>
  </si>
  <si>
    <t>Sronstudio</t>
  </si>
  <si>
    <t>Muhamad Yusron Billah</t>
  </si>
  <si>
    <t>imagens\Ratheylin.png</t>
  </si>
  <si>
    <t>https://www.myfonts.com/pt/collections/ratheylin-font-sronstudio</t>
  </si>
  <si>
    <t>Organic, Handwritten, Natural, Handdrawn, Script, Casual, Rustic, Handmade, Brush, Ink, Personal, Smooth, Flowing, Soft, Creative, Artistic, Earthy, Raw, Authentic, Freehand</t>
  </si>
  <si>
    <t>Surpox</t>
  </si>
  <si>
    <t>imagens\Surpox.png</t>
  </si>
  <si>
    <t>https://www.myfonts.com/pt/collections/surpox-font-hasnat-studio</t>
  </si>
  <si>
    <t>Organic Font, Handwriting Font, Natural Script, Signature Style, Creative Script, Hand Lettering, Feminine Script, Branding Script, Handwritten Logo, Elegant Writing, Calligraphy Font, Stylish Script, Unique Lettering, Inviting Font, Genuine Lettering, Human Touch, Lifestyle Font, Organic Curves, Personal Design, Authentic Lettering</t>
  </si>
  <si>
    <t>Barrow Waylow</t>
  </si>
  <si>
    <t>imagens\Barrow_Waylow.png</t>
  </si>
  <si>
    <t>https://www.myfonts.com/pt/collections/barrow-waylow-font-tini-fitriani</t>
  </si>
  <si>
    <t>Handwritten, Script, Vintage, Nostalgic, Romantic Font, Vintage Script, Summer, Wedding, Beautiful Font, Luxury, Magazine, Minimalist, Whimsical, Cursive, Lettering, Collection Font, Stylish Font, Lovely Font, Invitation, Branding</t>
  </si>
  <si>
    <t>MC Twicked Panther</t>
  </si>
  <si>
    <t>imagens\MC_Twicked_Panther.png</t>
  </si>
  <si>
    <t>https://www.myfonts.com/pt/collections/mc-twicked-panther-font-maulana-creative</t>
  </si>
  <si>
    <t>Hand Drawn, Brush Script, Street Art, Custom Font, Display Font, Bold Script, Rough Brush, Textured Font, Urban Style, Street Wear, Dynamic Typeface, Aggressive Style, Speed Font, Brush Lettering, Modern Script, Creative Design, Cool Font, Branding Font, Strong Typeface, Unique Font</t>
  </si>
  <si>
    <t>Rubyday</t>
  </si>
  <si>
    <t>imagens\Rubyday.png</t>
  </si>
  <si>
    <t>https://www.myfonts.com/pt/collections/rubyday-font-arendxstudio</t>
  </si>
  <si>
    <t>Script, Elegant, Aesthetic, Font, Cursiv, Design, Branding, Logo, Creative, Stylish, Signature, Smooth, Calligraphy, Typography, Classy</t>
  </si>
  <si>
    <t>Rantica Maurich</t>
  </si>
  <si>
    <t>Mojiscope Studio</t>
  </si>
  <si>
    <t>imagens\Rantica_Maurich.png</t>
  </si>
  <si>
    <t>https://www.myfonts.com/pt/collections/rantica-maurich-font-mojiscope-studio</t>
  </si>
  <si>
    <t>Font Duo, Font Pairing, Serif and Script, Script Font, Handwriting Font, Calligraphy Font, Typeface, Font Family, Elegant Font, Modern Font, Classic Font, Luxury Font, Modern Serif, Sophisticated, Romantic, Feminine, Beautiful Font, Timeless, Chic, Clean</t>
  </si>
  <si>
    <t>Eqlora</t>
  </si>
  <si>
    <t>imagens\Eqlora.png</t>
  </si>
  <si>
    <t>https://www.myfonts.com/pt/collections/eqlora-font-inviline</t>
  </si>
  <si>
    <t>Elegant, Serif, Fashion, Luxury, High Lifestyle, Editorial, Feminine, Typeface, Modern Serif, Logo Font, Beauty Brand, Magazine, Graceful, Premium, Brand Identity, Upscale, Stylish, Packaging, Ligature, Sophisticated</t>
  </si>
  <si>
    <t>Hipotesa</t>
  </si>
  <si>
    <t>Mevstory Studio</t>
  </si>
  <si>
    <t>Muhammad Afif Ersya</t>
  </si>
  <si>
    <t>imagens\Hipotesa.png</t>
  </si>
  <si>
    <t>https://www.myfonts.com/pt/collections/hipotesa-font-mevstory-studio</t>
  </si>
  <si>
    <t>Hipotesa, Variabel Font, Serif, Sans Serif</t>
  </si>
  <si>
    <t>Trickstar</t>
  </si>
  <si>
    <t>Trick Type Style</t>
  </si>
  <si>
    <t>Rizki Ramadhan</t>
  </si>
  <si>
    <t>imagens\Trickstar.png</t>
  </si>
  <si>
    <t>https://www.myfonts.com/pt/collections/trickstar-font-trick-type-style</t>
  </si>
  <si>
    <t>Serif Font, Luxury, Branding, Typeface, Typography, Variable Font, Vintage Typeface, Logo, Strong, Cool, Italic Font, Headline, Modern, Ligature, Serif Bold, Bold Italic, Classy, Hairlane, Best, Elegant</t>
  </si>
  <si>
    <t>Aydoria</t>
  </si>
  <si>
    <t>imagens\Aydoria.png</t>
  </si>
  <si>
    <t>https://www.myfonts.com/pt/collections/aydoria-font-zaain-type</t>
  </si>
  <si>
    <t>Advertising, Book, Branding, Business, Casual, Decorative, Display, Elegant, Headline, Logo, Magazine, Modern, Social Media, Stylist, Title, Web Font, Packaging, Clothing, Stylish, Classy</t>
  </si>
  <si>
    <t>Aurova</t>
  </si>
  <si>
    <t>GuseType</t>
  </si>
  <si>
    <t>Guntur Septyan</t>
  </si>
  <si>
    <t>imagens\Aurova.png</t>
  </si>
  <si>
    <t>https://www.myfonts.com/pt/collections/aurova-font-gusetype</t>
  </si>
  <si>
    <t>Font, Fonts, Type, Typeface, Typography, Classic, Modern, Elegant, Luxury, Typeset, Multilingual Support, Display Sans Serif Font, Brand Identity Font, Poster Design, Logo Design, Magazine, Cover Design, Business Branding, Lettering Design, Invitations</t>
  </si>
  <si>
    <t>Querolas</t>
  </si>
  <si>
    <t>imagens\Querolas.png</t>
  </si>
  <si>
    <t>https://www.myfonts.com/pt/collections/querolas-font-ragamkata</t>
  </si>
  <si>
    <t>Monoline, Retro, Stylish, Vintage, Modern, Groovy, Display, Logo, Decorative, Creative, Funky, Aesthetic, Playful, Branding, Sans, Sans Serif, Rounded, Round, Geometric, Fun</t>
  </si>
  <si>
    <t>Landmark Models</t>
  </si>
  <si>
    <t>imagens\Landmark_Models.png</t>
  </si>
  <si>
    <t>https://www.myfonts.com/pt/collections/landmark-models-font-ragamkata</t>
  </si>
  <si>
    <t>Playful, Modern, Serif, Elegant, Retro, Luxury, Stylish, Branding, Creative, Vintage, Classy, Decorative, Font, Typeface, Fashion, Unique, Sophiscated, Versatile, Timeless, Logo</t>
  </si>
  <si>
    <t>Froth</t>
  </si>
  <si>
    <t>Casloop Studio</t>
  </si>
  <si>
    <t>Wantara Putra</t>
  </si>
  <si>
    <t>imagens\Froth.png</t>
  </si>
  <si>
    <t>https://www.myfonts.com/pt/collections/froth-font-casloop-studio</t>
  </si>
  <si>
    <t>Horror, Ghoul, Haunted, Terror, Zombie, Halloween, Spooky, Trick or Treat, Headline, Rough, Display, Scary, Creepy, Dark, Cartoon</t>
  </si>
  <si>
    <t>Grople</t>
  </si>
  <si>
    <t>imagens\Grople.png</t>
  </si>
  <si>
    <t>https://www.myfonts.com/pt/collections/grople-font-artiveko</t>
  </si>
  <si>
    <t>Font, Logo, Sans, Serif, Brand, Identity, Text, Type, Typeface, Branding, Heading, Headline, Title, Poster, Otf, Ttf, Woff, Minimalist, Sans Serif, Creative</t>
  </si>
  <si>
    <t>Slingora</t>
  </si>
  <si>
    <t>Attract Studio</t>
  </si>
  <si>
    <t>Muammar Kadafi</t>
  </si>
  <si>
    <t>imagens\Slingora.png</t>
  </si>
  <si>
    <t>https://www.myfonts.com/pt/collections/slingora-font-attract-studio</t>
  </si>
  <si>
    <t>Logo Font, Stickers, Wedding Font, Happy Brithday, Typography, Calligraphy, Vintage Font, Retro Font, Cricut Fonts, Brush Font, Modern Script, Cutting Font, Poster Font, Logo Design, Scan N Cut Crafts, Serif Font, Best Serif, Variable Serif, Best Seller</t>
  </si>
  <si>
    <t>Chilton</t>
  </si>
  <si>
    <t>imagens\Chilton.png</t>
  </si>
  <si>
    <t>https://www.myfonts.com/pt/collections/chilton-font-marvadesign</t>
  </si>
  <si>
    <t>Serif, Editorial, Contemporary, High Contrast, Casual, Website, Fashion, Poster, Magazine, Minimalist, Family, Variable, Sleek, Elegant, Feminine, Font, Display, Book Text, Italic, Medium</t>
  </si>
  <si>
    <t>Shitylom Rustting</t>
  </si>
  <si>
    <t>imagens\Shitylom_Rustting.png</t>
  </si>
  <si>
    <t>https://www.myfonts.com/pt/collections/shitylom-rustting-font-ayska</t>
  </si>
  <si>
    <t>Font, Handwriting, Handwritten, Script, Modern, Signature Font, Logo Font, Elegant Font, Stylish Font, Chic Font, Swash, Ligatures, Branding, Cursive Font, Swashes, Natural, Type, Invitation, Typography, Typeface</t>
  </si>
  <si>
    <t>Domtrey Shinttax</t>
  </si>
  <si>
    <t>imagens\Domtrey_Shinttax.png</t>
  </si>
  <si>
    <t>https://www.myfonts.com/pt/collections/domtrey-shinttax-font-ayska</t>
  </si>
  <si>
    <t>Hand Lettered Font, Handwriting, Handwritten, Modern Font, Signature Font, Typography, Invitation, Type, Natural, Hand Lettering, Branding, Cursive Font, Swashes, Ligatures, Chic Font, Elegant Font, Logo Font, Website Font, Logotype, Canva</t>
  </si>
  <si>
    <t>Delicate Journal</t>
  </si>
  <si>
    <t>imagens\Delicate_Journal.png</t>
  </si>
  <si>
    <t>https://www.myfonts.com/pt/collections/delicate-journal-font-shanaf</t>
  </si>
  <si>
    <t>Handwritten Font, Script Font, Trendy Font, Modern Font, Cute Font, Soft Font, Journal Font, Playful Font, Calligraphy Font, Elegant Font, Logo Font, Branding Font, Casual Font, Natural Font, Stylish Font, Feminine Font, Quote Font, Lifestyle Font, Smooth Font, Light Font</t>
  </si>
  <si>
    <t>Junior High Handwriting</t>
  </si>
  <si>
    <t>imagens\Junior_High_Handwriting.png</t>
  </si>
  <si>
    <t>https://www.myfonts.com/pt/collections/junior-high-handwriting-font-patlot-digital-studio</t>
  </si>
  <si>
    <t>Handwriting, Handwriten, Back To School, Kids, Baby, Teacher, Mother's Day, Father's Day, Note, Notes Font, Quotes, Junior High Handwriting, Font, Fonts</t>
  </si>
  <si>
    <t>Lingered Amaya</t>
  </si>
  <si>
    <t>imagens\Lingered_Amaya.png</t>
  </si>
  <si>
    <t>https://www.myfonts.com/pt/collections/lingered-amaya-font-tini-fitriani</t>
  </si>
  <si>
    <t>Handwritten, Script, Vintage, Nostalgic, Romantic Font, Vintage Script, Wedding, Beauty Font, Beautiful Font, Magazine, Minimalist, Whimsical, Cursive, Lettering, Swashes, Modern Fonts, Collection Font, Stylish Font, Lovely Font, Branding</t>
  </si>
  <si>
    <t>Nesta Mastone</t>
  </si>
  <si>
    <t>imagens\Nesta_Mastone.png</t>
  </si>
  <si>
    <t>https://www.myfonts.com/pt/collections/nesta-mastone-font-basnistudio</t>
  </si>
  <si>
    <t>Handwritten, Script, Display Font, Signature Font, Natural Font, Handwritting Font, Wedding, Casual, Chic</t>
  </si>
  <si>
    <t>Cranbourne west</t>
  </si>
  <si>
    <t>Jadugar Design Studio</t>
  </si>
  <si>
    <t>Jadugar Design</t>
  </si>
  <si>
    <t>imagens\Cranbourne_west.png</t>
  </si>
  <si>
    <t>https://www.myfonts.com/pt/collections/cranbourne-west-font-jadugardesignstudio</t>
  </si>
  <si>
    <t>Handwritten, Brush, Retro, Vintage, Script, Display, Cursive, Textured, Old-school, Nostalgic, Lettering, Sign Painting, Artistic, Logo, Branding, Calligraphy, Bold, Expressive, Ink, Handmade</t>
  </si>
  <si>
    <t>Dugora</t>
  </si>
  <si>
    <t>imagens\Dugora.png</t>
  </si>
  <si>
    <t>https://www.myfonts.com/pt/collections/dugora-font-arendxstudio</t>
  </si>
  <si>
    <t>Elegant, Flourish, Classic, Luxury, Creative, Artistic, Graceful, Timeless, Refined, Stylish, Modern, Design, Typography, Lettering, Script</t>
  </si>
  <si>
    <t>Koobang</t>
  </si>
  <si>
    <t>imagens\Koobang.png</t>
  </si>
  <si>
    <t>https://www.myfonts.com/pt/collections/koobang-font-sipanji21</t>
  </si>
  <si>
    <t>Graffiti, Graffiti Tags, Street Font, Tagging Font, Handstyle Font, Swash Font, Ligature Font, Alternates Font, Branding Font, Arrow Font, Sign Font, Stylish Font, Creative Font, Edgy Font, Rebel Font, Streetwear, Fashion Font, Social Media Font, Marketing Font, Freestyle Font</t>
  </si>
  <si>
    <t>Voome</t>
  </si>
  <si>
    <t>Authentype</t>
  </si>
  <si>
    <t>Ekayasa Ekayasa</t>
  </si>
  <si>
    <t>imagens\Voome.png</t>
  </si>
  <si>
    <t>https://www.myfonts.com/pt/collections/voome-font-authentype</t>
  </si>
  <si>
    <t>Bold Rounded Display Font, Modern Logo Font, Retro Display Typeface, Rounded Sans Serif, Branding Font, Headline Font, Unique Ligature Font, Modern Geometric Font, Playful Display Font, Professional Rounded Typeface</t>
  </si>
  <si>
    <t>Scribsy Marker</t>
  </si>
  <si>
    <t>imagens\Scribsy_Marker.png</t>
  </si>
  <si>
    <t>https://www.myfonts.com/pt/collections/scribsy-marker-font-shanaf</t>
  </si>
  <si>
    <t>Handwritten Font, Marker Font, Doodle Font, Playful Font, Fun Font, Quirky Font, Casual Font, Kid Font, Sketch Font, Scribble Font, Handmade Font, Friendly Font, Creative Font, Unique Font, Informal Font, Happy Font, Bold Font, Logo Font, Headline Font, Social Media Font</t>
  </si>
  <si>
    <t>Avermont</t>
  </si>
  <si>
    <t>imagens\Avermont.png</t>
  </si>
  <si>
    <t>https://www.myfonts.com/pt/collections/avermont-font-propertype</t>
  </si>
  <si>
    <t>Informal, Decorative, Fashionable, Certificate, Legible, Poster, Commercial, Roman, Vacation, Food, Money, Heavy, Kids, Summer, Natural, Soft, Perfume, Magazine, Cosmetics, Nature</t>
  </si>
  <si>
    <t>Floranza</t>
  </si>
  <si>
    <t>imagens\Floranza.png</t>
  </si>
  <si>
    <t>https://www.myfonts.com/pt/collections/floranza-font-inviline</t>
  </si>
  <si>
    <t>Floranza, Serif, Display, Elegant, Luxury, Festive, Winter, Typeface, Contrast, Editorial, Headline, Branding, Classy, Swash, Charm, High Contrast, Modern Serif, Font Luxury, Stylish Serif, Timeless Font</t>
  </si>
  <si>
    <t>Actualis</t>
  </si>
  <si>
    <t>imagens\Actualis.png</t>
  </si>
  <si>
    <t>https://www.myfonts.com/pt/collections/actualis-font-artisticandunique</t>
  </si>
  <si>
    <t>Serif Font, Serif Font Family, Stylish Serif Typeface, Stylish Serif Font, Web Designers, Web Development, Magazine Designers, Magazine Design, Newspaper Design, Multilingual Supports, Multilingual Font, Stylish, Editorial, Editorial Font, Magazine Font, Desktop Font, Serif Display, Web Design, Branding, Branding Font</t>
  </si>
  <si>
    <t>Damaris</t>
  </si>
  <si>
    <t>imagens\Damaris.png</t>
  </si>
  <si>
    <t>https://www.myfonts.com/pt/collections/damaris-font-inviline</t>
  </si>
  <si>
    <t>Inktrap, Modern, Futuristic, Bold, Typeface, Sans, Display, Editorial, Geometric, Ligature, Modern Typeface, Inktrap Font, Futuristic Font, Clean Typeface, Editorial Font, Headline Font, Digital Branding, Sans Serif, Poster Font, Minimalist Font</t>
  </si>
  <si>
    <t>Estefit</t>
  </si>
  <si>
    <t>imagens\Estefit.png</t>
  </si>
  <si>
    <t>https://www.myfonts.com/pt/collections/estefit-font-casloop-studio</t>
  </si>
  <si>
    <t>Halloween, Sharp, Horror, Terror, Gothic, Haunted, Wild, Witch, Rough, Headline, Spooky, Creepy, Scary, Grunge</t>
  </si>
  <si>
    <t>Gerathi</t>
  </si>
  <si>
    <t>imagens\Gerathi.png</t>
  </si>
  <si>
    <t>https://www.myfonts.com/pt/collections/gerathi-font-ragamkata</t>
  </si>
  <si>
    <t>Sans, Humanist, Minimal, Minimalist, Branding, Logo, Clean, Geometric, Typeface, Font, Premium, Display, Stylish, Sans Serif, Sans Font, Humanist Sans, Minimal Font, Branding Font, Logo Font, Clean Font</t>
  </si>
  <si>
    <t>Grim Aura</t>
  </si>
  <si>
    <t>imagens\Grim_Aura.png</t>
  </si>
  <si>
    <t>https://www.myfonts.com/pt/collections/grim-aura-font-shanaf</t>
  </si>
  <si>
    <t>Blackletter Font, Gothic Font, Dark Font, Fantasy Font, Medieval Font, Horror Font, Display Font, Vintage Font, Old English Font, Bold Font, Logo Font, Branding Font, Tattoo Font, Poster Font, Fantasy Typeface, Gothic Typeface, Dark Style, Mystical Font, Decorative Font, Gothic Display</t>
  </si>
  <si>
    <t>Shore Mystic</t>
  </si>
  <si>
    <t>Amorfa Type</t>
  </si>
  <si>
    <t>Shiddiq Roihan</t>
  </si>
  <si>
    <t>imagens\Shore_Mystic.png</t>
  </si>
  <si>
    <t>https://www.myfonts.com/pt/collections/shore-mystic-font-amorfa-type</t>
  </si>
  <si>
    <t>Sans Serif, Display, Quirky, Playful, Fun, Uniqueness, Creative, Curves, Bold, Alternates, Packaging, Children’s Books, Logos, Social Media Graphics, Cartoons, Cheerful, Logo, Joy</t>
  </si>
  <si>
    <t>Asmiranda Handwriting</t>
  </si>
  <si>
    <t>imagens\Asmiranda_Handwriting.png</t>
  </si>
  <si>
    <t>https://www.myfonts.com/pt/collections/asmiranda-handwriting-font-patlot-digital-studio</t>
  </si>
  <si>
    <t>Handwriting, Handwriten, Asmiranda Handwriting, Back To School, Kids, Child, Children, Teacher, Mother's Day, Father's Day, Minimalis Font, Note, Notes Font, Social Media, Quotes</t>
  </si>
  <si>
    <t>MC Cogico Morila</t>
  </si>
  <si>
    <t>imagens\MC_Cogico_Morila.png</t>
  </si>
  <si>
    <t>https://www.myfonts.com/pt/collections/mc-cogico-morila-font-maulana-creative</t>
  </si>
  <si>
    <t>New Serif, Luxury Font, Bold Serif, Display Font, Elegant Typeface, Branding Font, High Contrast, Classic Style, Modern Typography, Fashion Font, Magazine Headline, Editorial Design, Creative Font, Stylish Letters, Premium Quality, Timeless Design, Vintage Look, Unique Font, Professional Typography, Logo Font</t>
  </si>
  <si>
    <t>Whimsy Tale</t>
  </si>
  <si>
    <t>Letterafandi Studio</t>
  </si>
  <si>
    <t>Ahmad Afandi</t>
  </si>
  <si>
    <t>imagens\Whimsy_Tale.png</t>
  </si>
  <si>
    <t>https://www.myfonts.com/pt/collections/whimsy-tale-font-letterafandi-studio</t>
  </si>
  <si>
    <t>Playfulfont, Whimsicaltypography, Handwrittenfont, Fundesign, Cartoonfont, Creativelettering, Kidsfont, Friendlytypeface, Joyfuldesign, Casualtypography, Playful, Display, Fun, Funny</t>
  </si>
  <si>
    <t>Radiant Sphere</t>
  </si>
  <si>
    <t>imagens\Radiant_Sphere.png</t>
  </si>
  <si>
    <t>https://www.myfonts.com/pt/collections/radiant-sphere-font-almeera-studio</t>
  </si>
  <si>
    <t>Monoline, Script, Modern, Retro, Minimal, Elegant, Stylish, Logotype, Creative, Handwritten, Vintage, Bold, Font, Timeless, Branding, Monoline Script, Retro Style, Modern Signage, Creative Logo, Dynamic Stroke</t>
  </si>
  <si>
    <t>Boldy Restor</t>
  </si>
  <si>
    <t>imagens\Boldy_Restor.png</t>
  </si>
  <si>
    <t>https://www.myfonts.com/pt/collections/boldy-restor-font-ayska</t>
  </si>
  <si>
    <t>Website Font, Casual Script, Text, Logotype, Typeface, Typography, Invitaion, Type, Natural, Hand Lettering, Swashes, Cursive Font, Hand Lettered Font, Branding, Handwriting, Ligatures, Swash, Chic Font, Stylish Font, Elegant Font</t>
  </si>
  <si>
    <t>MC Sumrez</t>
  </si>
  <si>
    <t>imagens\MC_Sumrez.png</t>
  </si>
  <si>
    <t>https://www.myfonts.com/pt/collections/mc-sumrez-font-maulana-creative</t>
  </si>
  <si>
    <t>Handmade Font, Bold Script, Playful Typeface, Brush Script, Casual Display, Chunky Font, Custom Lettering, Unique Font, Vibrant Design, Display Font, Fun Typography, Youthful Style, Comic Font, Title Font, Logo Design, Packaging Design, Social Media, Energetic Font, Friendly Font, Brand Identity</t>
  </si>
  <si>
    <t>Enchanted Bride</t>
  </si>
  <si>
    <t>imagens\Enchanted_Bride.png</t>
  </si>
  <si>
    <t>https://www.myfonts.com/pt/collections/enchanted-bride-font-letterhend</t>
  </si>
  <si>
    <t>Handwritten, Script, Sans, Elegant, Romantic, Wedding Font, Modern, Charming, Wedding, Feminine, Delicate, Classic, Duo, Graceful, Pretty, Invitation, Typography, Sweet, Calligraphy</t>
  </si>
  <si>
    <t>Murisa Chappelle</t>
  </si>
  <si>
    <t>imagens\Murisa_Chappelle.png</t>
  </si>
  <si>
    <t>https://www.myfonts.com/pt/collections/murisa-chappelle-font-murisa-studio</t>
  </si>
  <si>
    <t>Murisa Chappelle, Elegant Serif Font, Italic Serif Typeface, Luxury Font, Premium Display Font, Editorial Typeface, Branding Font, High-end Typography, Fashion Magazine Font, Packaging Font, Stylish Serif, Modern Classic Font, Eastern European Language, Multilingual Font, Sophisticated Font, Graceful Italic, Timeless Design, Upscale Branding, Refined Lettering, Designer Font</t>
  </si>
  <si>
    <t>Algan</t>
  </si>
  <si>
    <t>Serdar Ozturk</t>
  </si>
  <si>
    <t>Serdar Öztürk</t>
  </si>
  <si>
    <t>imagens\Algan.png</t>
  </si>
  <si>
    <t>https://www.myfonts.com/pt/collections/algan-font-serdar-ozturk</t>
  </si>
  <si>
    <t>Sans Serif, Geometric, Modern, Clean, Minimal, Branding, Logo, Editorial, Headline, Display, Body Text, Webfont, UI, UX, Digital, Packaging, Corporate, Signage</t>
  </si>
  <si>
    <t>Crimson Night</t>
  </si>
  <si>
    <t>Rasio Studio</t>
  </si>
  <si>
    <t>Fajar Indra</t>
  </si>
  <si>
    <t>imagens\Crimson_Night.png</t>
  </si>
  <si>
    <t>https://www.myfonts.com/pt/collections/crimson-night-font-rasio-studio</t>
  </si>
  <si>
    <t>Vintage Font, Christmas Font, Handmade, Oldschool, Rustic, Christmas, Display, Retro, Vintage, Festive, Textured, Decorative, Serif, Handcrafted, Bold, Typography, Cheerful, Nostalgic, Warm</t>
  </si>
  <si>
    <t>Qufego</t>
  </si>
  <si>
    <t>imagens\Qufego.png</t>
  </si>
  <si>
    <t>https://www.myfonts.com/pt/collections/qufego-font-catalystco-std</t>
  </si>
  <si>
    <t>Serif, Modern, Elegant, Outline, Bold, Stylish, Classic, Refined, Luxury, Fashion, Editorial, Branding, Sophisticated, Contemporary, Versatile, Chic, Classy</t>
  </si>
  <si>
    <t>Claftig</t>
  </si>
  <si>
    <t>imagens\Claftig.png</t>
  </si>
  <si>
    <t>https://www.myfonts.com/pt/collections/claftig-font-catalystco-std</t>
  </si>
  <si>
    <t>Serif, Modern, Elegant, Stylish, Refined, Vintage, Classic, Contemporary, Editorial, Fashion, Branding, Magazine, Typography, Luxury, Chic, Trendy, Sophisticated</t>
  </si>
  <si>
    <t>Gardino</t>
  </si>
  <si>
    <t>Nasir Udin</t>
  </si>
  <si>
    <t>imagens\Gardino.png</t>
  </si>
  <si>
    <t>https://www.myfonts.com/pt/collections/gardino-font-nasir-udin</t>
  </si>
  <si>
    <t>Art Nouveau, Art, Nouveau, Feminine, Natural, Soft, Retro, Display, Poster, Magazine, Headline, Vintage, Metropolitan, Serif, Fashion, Parisien, Metro, Book, Beautiful, Bold</t>
  </si>
  <si>
    <t>Katales Broken</t>
  </si>
  <si>
    <t>imagens\Katales_Broken.png</t>
  </si>
  <si>
    <t>https://www.myfonts.com/pt/collections/katales-broken-font-rahagita-type</t>
  </si>
  <si>
    <t>Colorful, Children, Beach, Bubble, Cartoon, Chunky, Comic, Creativity, Cute, Decorative, Display, Happy, Kids, Marker, Paintbrush, Party, Fun, Logotype, Playful, Toy</t>
  </si>
  <si>
    <t>Vintage rústico</t>
  </si>
  <si>
    <t>imagens\Vintage_rústico.png</t>
  </si>
  <si>
    <t>https://www.myfonts.com/pt/collections/rustic-vintage-font-nirmana-visual</t>
  </si>
  <si>
    <t>Rustic, Vintage, Classic, Old, Textures, Rough, Logos, Labels, Packaging, Poster, Authenticity, Coffeeshop, Product</t>
  </si>
  <si>
    <t>Resthia</t>
  </si>
  <si>
    <t>imagens\Resthia.png</t>
  </si>
  <si>
    <t>https://www.myfonts.com/pt/collections/resthia-font-canden-meutuah</t>
  </si>
  <si>
    <t>Font, Script, New Script, Modern Script, Typeface, Handwritten, Handwriting, Script Font</t>
  </si>
  <si>
    <t>GW Quetaro Pro</t>
  </si>
  <si>
    <t>imagens\GW_Quetaro_Pro.png</t>
  </si>
  <si>
    <t>https://www.myfonts.com/pt/collections/gw-quetaro-pro-font-goodwheel-studio</t>
  </si>
  <si>
    <t>Variable Font, Typedesign, Modern Font, Mexican Font, Mexican Food, Mexican Patterns, Branding, Display Font, Sans Serif, Vintage Font, Reverse Contrast</t>
  </si>
  <si>
    <t>No. 156</t>
  </si>
  <si>
    <t>Chekart</t>
  </si>
  <si>
    <t>Ekaterina Chernysheva</t>
  </si>
  <si>
    <t>imagens\No._156.png</t>
  </si>
  <si>
    <t>https://www.myfonts.com/pt/collections/no-156-font-chekart</t>
  </si>
  <si>
    <t>Headline Font, Logo, Social Media, Quote, Kids Design, Diy Font, Sticker Font, Summer, Halloween, Party, Poster, Children Font, Branding, Packaging, Cute Lettering, Playful, Funky, Casual Font, Organic Font, Display Font</t>
  </si>
  <si>
    <t>Sunshine in a bag</t>
  </si>
  <si>
    <t>Bogstav</t>
  </si>
  <si>
    <t>Jakob Fischer</t>
  </si>
  <si>
    <t>imagens\Sunshine_in_a_bag.png</t>
  </si>
  <si>
    <t>https://www.myfonts.com/pt/collections/sunshine-in-a-bag-font-bogstav</t>
  </si>
  <si>
    <t>Handmade, Layered, Outline, Rough, Organic, Pretty, Fun, Cute, Comic, Design, Packaging, Children, Kids, Boy, Girl, Birthday, Cake, Party, Invitation, Book</t>
  </si>
  <si>
    <t>Hiphep</t>
  </si>
  <si>
    <t>imagens\Hiphep.png</t>
  </si>
  <si>
    <t>https://www.myfonts.com/pt/collections/hiphep-font-casloop-studio</t>
  </si>
  <si>
    <t>Haunted, Horror, Halloween, Spooky, Ghoul, Rough, Trick or Treat, Scary, Branding, Circus, Grunge, Comic, Bold, Display, Headline, Poster</t>
  </si>
  <si>
    <t>Fareza</t>
  </si>
  <si>
    <t>imagens\Fareza.png</t>
  </si>
  <si>
    <t>https://www.myfonts.com/pt/collections/fareza-font-ragamkata</t>
  </si>
  <si>
    <t>Retro, Vintage, Modern, Serif, Font, Typeface, Bold, Classic, Swash, Decorative, Artistic, Branding, Magazine, Poster, Timeless, Creative, Logo, Elegant, Trendy, Unique</t>
  </si>
  <si>
    <t>Mandiora</t>
  </si>
  <si>
    <t>Zeenesia Studio</t>
  </si>
  <si>
    <t>Doni Purwoko</t>
  </si>
  <si>
    <t>imagens\Mandiora.png</t>
  </si>
  <si>
    <t>https://www.myfonts.com/pt/collections/mandiora-font-zeenesia-studio</t>
  </si>
  <si>
    <t>Display, Sansserif, Decorative, Logo, Branding, Packaging, Socialmedia, Advertising, Webfont, Uniquefont, Modernfont, Condensed Font, Logo Type, Brand Identity, Vintage Font, Business Font, Fashion Font, Ligature Font, Casual Font, Product Font</t>
  </si>
  <si>
    <t>Black Timber</t>
  </si>
  <si>
    <t>imagens\Black_Timber.png</t>
  </si>
  <si>
    <t>https://www.myfonts.com/pt/collections/black-timber-font-shanaf</t>
  </si>
  <si>
    <t>Western Font, Vintage Font, Cowboy Font, Retro Font, Bold Font, Display Font, Serif Font, Rustic Font, Classic Font, Old West Font, Wild West Font, Adventure Font, Logo Font, Branding Font, Poster Font, Packaging Font, Headline Font, Signage Font, Retro Display, Vintage Style</t>
  </si>
  <si>
    <t>Ugly Notes</t>
  </si>
  <si>
    <t>imagens\Ugly_Notes.png</t>
  </si>
  <si>
    <t>https://www.myfonts.com/pt/collections/ugly-notes-font-shanaf</t>
  </si>
  <si>
    <t>Handwritten Font, Doodle Font, Quirky Font, Playful Font, Fun Font, Kids Font, Handmade Font, Cute Font, Casual Font, Organic Font, Bold Font, Display Font, Creative Font, Friendly Font, Crafting Font, Logo Font, Branding Font, Headline Font, Cartoon Font, Sketch Font</t>
  </si>
  <si>
    <t>Rocket Core</t>
  </si>
  <si>
    <t>imagens\Rocket_Core.png</t>
  </si>
  <si>
    <t>https://www.myfonts.com/pt/collections/rocket-core-font-shanaf</t>
  </si>
  <si>
    <t>Futuristic Font, Sci-fi Font, Tech Font, Digital Font, Modular Font, Cyber Font, Display Font, Modern Font, Logo Font, Branding Font, Cyberpunk Font, Space Font, Digital Typeface, Geometric Font, Modern Display, Robot Font, Headline Font, Gaming Font, Neon Font, Hi-tech Font</t>
  </si>
  <si>
    <t>Blassic</t>
  </si>
  <si>
    <t>imagens\Blassic.png</t>
  </si>
  <si>
    <t>https://www.myfonts.com/pt/collections/blassic-font-amorfa-type</t>
  </si>
  <si>
    <t>Serif, Vintage, Modern, Timeless, Elegance, Classic, Smooth, Stylish, Contemporary, Creative, Unique, Versatile, Branding, Packaging, Editorial, Logos, Headlines, Luxury, Brand, Magazine</t>
  </si>
  <si>
    <t>Coler</t>
  </si>
  <si>
    <t>imagens\Coler.png</t>
  </si>
  <si>
    <t>https://www.myfonts.com/pt/collections/coler-font-bayuktx</t>
  </si>
  <si>
    <t>Typeface, Deco, Modern, Luxury, Fashion, Label, Poster, Classy, Premium, 1920s, Nouveau, Title, Logotype, Geometric, Stylish, Decorative, Antique, Highend, Aesthetic, Wedding</t>
  </si>
  <si>
    <t>Pronela</t>
  </si>
  <si>
    <t>Fontastic Lab</t>
  </si>
  <si>
    <t>Bebby Lutfitharina</t>
  </si>
  <si>
    <t>imagens\Pronela.png</t>
  </si>
  <si>
    <t>https://www.myfonts.com/pt/collections/pronela-font-fontastic-lab</t>
  </si>
  <si>
    <t>Typeface Serif, Ligature Font Serif, Discretionary Ligature, Swash Serif, Bold Display Sans Serif Font, Luxury Serif, Sans Serif, Branding, Trend, Website, Brand, Fashion, Promotion, Typography, Decorative, Editorial, Aesthetic, High Contrast, Windows, Unique</t>
  </si>
  <si>
    <t>Sunnyfolk Wildstone</t>
  </si>
  <si>
    <t>Youngtype</t>
  </si>
  <si>
    <t>Naufal Paramata</t>
  </si>
  <si>
    <t>imagens\Sunnyfolk_Wildstone.png</t>
  </si>
  <si>
    <t>https://www.myfonts.com/pt/collections/sunnyfolk-wildstone-font-naufal-paramata</t>
  </si>
  <si>
    <t>Handmade, Handwritten, Brushtype, Logotype, Cartoon, Comic, Vintage, Retro, Signature, Script, Bold, Elegant, Branding, Fancy, Graphic, Magazine, Books, School, Kids, Web</t>
  </si>
  <si>
    <t>Âmbar do Bornéu</t>
  </si>
  <si>
    <t>Azzam Ridhamalik</t>
  </si>
  <si>
    <t>imagens\Âmbar_do_Bornéu.png</t>
  </si>
  <si>
    <t>https://www.myfonts.com/pt/collections/borneo-amber-font-azzam-ridhamalik</t>
  </si>
  <si>
    <t>Vintage, Modern, Retro, Bold, Western, Mexican, Mexico, Rough, Clean, Handmade, Heritage, Poster, Frontier, American, Cowboy, Country, Cowgirl, Southwest, All Caps, Urban</t>
  </si>
  <si>
    <t>Qonttany</t>
  </si>
  <si>
    <t>imagens\Qonttany.png</t>
  </si>
  <si>
    <t>https://www.myfonts.com/pt/collections/qonttany-font-inviline</t>
  </si>
  <si>
    <t>Signature, Handwritten, Brush, Elegant, Winter, Personal, Branding, Script Font, Signature Font, Brush Font, Winter Font, Wedding Font, Hand Lettering, Modern Script, Casual Font, Signature Style, Logo Font, Branding Font, Natural Flow, Authentic Feel</t>
  </si>
  <si>
    <t>Ensticha</t>
  </si>
  <si>
    <t>imagens\Ensticha.png</t>
  </si>
  <si>
    <t>https://www.myfonts.com/pt/collections/ensticha-font-inviline</t>
  </si>
  <si>
    <t>Brush, Script, Dry Brush, Bold Script, Handwriting, Grunge, Textured, Energy Font, Brush Font, Sporty, Dynamic, Freestyle, Snowboarding, Winter Font, Edgy, Headline, Extreme, Fast Pace, Urban Font, Motion</t>
  </si>
  <si>
    <t>Corush</t>
  </si>
  <si>
    <t>imagens\Corush.png</t>
  </si>
  <si>
    <t>https://www.myfonts.com/pt/collections/corush-font-sipanji21</t>
  </si>
  <si>
    <t>Futuristic Font, Tech Font, Modern Font, Space Font, Sci-fi Font, Robot Font, Cyber Font, Italic Font, Starship Font, Gaming Font, Geometric, Inovative Font, Robotic, Hi-tech Font, Branding Font, Logotype, Crafting Font, Streetwear Font, Mecha Font, Pixel Font</t>
  </si>
  <si>
    <t>Bokathi Jhonathan</t>
  </si>
  <si>
    <t>imagens\Bokathi_Jhonathan.png</t>
  </si>
  <si>
    <t>https://www.myfonts.com/pt/collections/bokathi-jhonathan-font-ayska</t>
  </si>
  <si>
    <t>Font, Script, Handwritten, Modern Font, Signature Font, Logo Font, Elegant Font, Stylish Font, Chic Font, Swash, Ligatures, Handwriting, Branding, Hand Lettered Font, Cursive Font, Swashes, Hand Lettering, Natural, Type, Invitation</t>
  </si>
  <si>
    <t>Rekstix Shuty</t>
  </si>
  <si>
    <t>imagens\Rekstix_Shuty.png</t>
  </si>
  <si>
    <t>https://www.myfonts.com/pt/collections/rekstix-shuty-font-ayska</t>
  </si>
  <si>
    <t>Font, Script, Handwritten, Modern Font, Signature Font, Logo Font, Elegant Font, Stylish Font, Chic Font, Swash, Ligatures, Handwriting, Branding, Hand Lettered Font, Cursive Font, Swashes, Hand Lettering, Natural, Type, Invitations</t>
  </si>
  <si>
    <t>Auskey</t>
  </si>
  <si>
    <t>imagens\Auskey.png</t>
  </si>
  <si>
    <t>https://www.myfonts.com/pt/collections/auskey-font-bale-type</t>
  </si>
  <si>
    <t>Elegant Fonts, Fancy Fonts, Modern Fonts, Bold Fonts, Magazine, Classy, Fashion Fonts, Fashionable, Branding, Logo, Poster, Vintage, Retro, Hipster Fonts, Camping, Display Fonts, Wedding, 60s, 70s, 80s</t>
  </si>
  <si>
    <t>MC Restea Choco</t>
  </si>
  <si>
    <t>imagens\MC_Restea_Choco.png</t>
  </si>
  <si>
    <t>https://www.myfonts.com/pt/collections/mc-restea-choco-font-maulana-creative</t>
  </si>
  <si>
    <t>Handwritten Font, Marker Font, Brush Lettering, Bold Typeface, Display Font, Custom Lettering, Street Style, Graffiti Script, Painted Letters, Thick Brush, Creative Design, Logo Design, Poster Font, T-shirt Design, Apparel Graphics, Social Media, Strong Message, Authentic Texture, Unique Font, Modern Design</t>
  </si>
  <si>
    <t>Carmila</t>
  </si>
  <si>
    <t>imagens\Carmila.png</t>
  </si>
  <si>
    <t>https://www.myfonts.com/pt/collections/carmila-font-cocodesign</t>
  </si>
  <si>
    <t>Brush Script, Handbrushed Font, Modern Script, Handwritten Font, Signature Font, Brush Lettering, Logo Font, Modern Calligraphy, Wedding Font, Branding Font, Stylish Brush Font, Clean Script, Carmila, Brush Typeface, Modern Brush, Calligraphy Font, Natural Script, Display Font, Typography Font, Creative Font</t>
  </si>
  <si>
    <t>Vanila Moont</t>
  </si>
  <si>
    <t>imagens\Vanila_Moont.png</t>
  </si>
  <si>
    <t>https://www.myfonts.com/pt/collections/vanila-moont-font-twinletter</t>
  </si>
  <si>
    <t>Sports, Kids, Display, Game, Cool, Cone, Frozen, Waffle, Ice, Food, Cream, Sweet, Chocolate, Logotype, Gelato, Ice Cream, Creamy</t>
  </si>
  <si>
    <t>The Beatlion</t>
  </si>
  <si>
    <t>imagens\The_Beatlion.png</t>
  </si>
  <si>
    <t>https://www.myfonts.com/pt/collections/the-beatlion-font-bayuktx</t>
  </si>
  <si>
    <t>Rough, Vintage, Handcrafted, Retro, Poster, Label, Handmade, Old, Classic, Decorative, Display, Western, Signage, Title, Authentic, Corporate, Branding, Rugged, Alaska, Stamp</t>
  </si>
  <si>
    <t>Xmas Graffiti</t>
  </si>
  <si>
    <t>imagens\Xmas_Graffiti.png</t>
  </si>
  <si>
    <t>https://www.myfonts.com/pt/collections/xmas-graffiti-font-yoga-letter</t>
  </si>
  <si>
    <t>Christmas, Graffiti, Display, Print, Banner, Poster, Winter, Halloween, Fall</t>
  </si>
  <si>
    <t>Bud Spencer</t>
  </si>
  <si>
    <t>Woodcutter</t>
  </si>
  <si>
    <t>Jordi Manero</t>
  </si>
  <si>
    <t>imagens\Bud_Spencer.png</t>
  </si>
  <si>
    <t>https://www.myfonts.com/pt/collections/bud-spencer-font-woodcutter</t>
  </si>
  <si>
    <t>Eroded, Hard, Poster, Display, Movie, Magazine, Terror, Woodcutter, Impact, Heavy, Strong</t>
  </si>
  <si>
    <t>Little Crumble</t>
  </si>
  <si>
    <t>imagens\Little_Crumble.png</t>
  </si>
  <si>
    <t>https://www.myfonts.com/pt/collections/little-crumble-font-rasio-studio</t>
  </si>
  <si>
    <t>Handwritten, Soft, Playful, Fun, Rounded, Food, Kids, Modern Branding, Modern, Bold, Multilingual, Font Family, Decorative Font, Rounded Font, Fun Font</t>
  </si>
  <si>
    <t>Shiny Rainbow</t>
  </si>
  <si>
    <t>imagens\Shiny_Rainbow.png</t>
  </si>
  <si>
    <t>https://www.myfonts.com/pt/collections/shiny-rainbow-font-epiclinez</t>
  </si>
  <si>
    <t>Shiny Rainbow Font, Cute Font, Playful Font, Colorful Font, Fun Display Font, Kids Font, Happy Font, Cheerful Font, Bubbly Font, Kawaii Font, Cartoon Font, Pastel Font, Girly Font, Joyful Font, Handwriting Font, Creative Font, Children Font, Modern Display Font, Cute Logo Font, Whimsical Font</t>
  </si>
  <si>
    <t>Gathia Sans</t>
  </si>
  <si>
    <t>imagens\Gathia_Sans.png</t>
  </si>
  <si>
    <t>https://www.myfonts.com/pt/collections/gathia-sans-font-logic-type</t>
  </si>
  <si>
    <t>fashionable, poster, invitation, easter, logo, monogram, handwriting, book, books, movie, lettering, booktext, movietitles, moviecredits, eastern, scripty, photography, easy, bookcover, caligraphy, popular, movies, displaylettering, handwritting, lovely, easterhat, casual, weird, display, monograms, web, signature, web graphics, book text, movie titles, movie credits, web-safe, easy to read, low-res, t-shirt, book cover, wedding invitations, handwritten, fast food, book type, wedding invitation, movie moviecredits, western, poster: nice, weathered, beauty, fashion, packaging, logotype, beautiful, lowercase, love, handwrititng, love it, book typeface, handwritten beauty, eastern europe, low contrast, wedding fonts, calligraphic_sinead, logo name, invitations, book font, poster titles, script font, weddings, loose, eastern european, posters, calligraphie, movieland, book jackets, packaging design, fasionable, casual script, casual hand writing, book fonts, photograph, easter island, signature scipt, easy-going, script handwriting, book covers, logs, display type, display font, poster_handwashing, webfont, easter egg, spring, movie poster, logo font, springtime, booklets, booklet, packaging font, movie-credits, moviem music, logo-design, promotion, movie title, scripts, casual friendly, ease, web font, handwritten script, bookв jackets, fashiony, wed, website, beauty products, bridal, beautiful writing, logotype headline, book-cover, lower case, movie house, packaging г—, photograph font, logo love, logotypr, love letter, logo design, movie marquee, monogrammes, monogramme, logotypes, handwritten sharpie, fashioned, handwriten, invitationas, webfonts, invitation catchwords, fasion, logic, calligraphy card, book face, easter eggs, fashion magazine, love letters, web-graphics, beatiful, casual handwriting, calligrapher, movie posters, calling card, handwritted, logodesign, movie font, script fonts, lettering stencil, movie titling, websites, popular science, fashionista, handwriting. handwritten, wedding invite, poster print, book titles, wedding script, postertype, invitation. invitations, handwritten style, logo / brand, promotional, calligraphy modern, wedding symbols, display caps, log, poster art, calligraph, wedding labels, bridal shower, bridal party, wedding program, calligrafie, calligrafia, display poster, script classy, display serif, display sans, poster face, poster font, scriptfonts, logo type, poster design, weddingwedding, wedding font, casual style, casual personality, casual font, scriptscript, movie star, display 1800, poster-size, calligrapy, handwrittn, calligraphers, calligraphy font, script bold, logotypes. ornaments, casual., display slab, t-shirts, display-font, handwriting font, signature font, logotyping, script swash, easy to set and read, movie script, handwritten font, logotext, calligraphique, calligraphyc, handwritten connected, handwrittenandwritten, wedding calligraphy, monogram glyphs, beautiful cursive, poster informal, packaging., lettering modern, display script, casual-script, logo and font for web, logotipo, poster bodoni, fashion designer, scripty text, invitation font, fast-food, book design, wedding font family, invitation cards, casual contemporary, packagingdesign, calligraphy header font, calligraphy title, calligraphy label, script typewriter, handwritten menus, display fonts, invitation fonts, lettering dingbat, calligraphic style, book work, casuals, packaging typeface, script lettering, script style, logofont, display typeface, beautiful script, packaging painted, fashiolabel, packaging scripts, fascinating, lettering fonts, display family, lettering font, love font, handwriting family, logoready, wedding card, fashion show, photographs, monogram font, calligraphed, script typeface, display face, logo ready, wedding invites, logostypes, calligraphic nib, signature soft, movieposter, handwritten body text, fashion font, photographer, beauty font, poster typeface, handwriting fonts, signature fonts, fashionnable, lettering script, displayв, calligraphic fonts, casual brush, casual sign, lettering text, fast hand, handwritinng, logo fonts, lovely fonts, handwritten fonts, calligraphy fonts, t-shirt designs, books cover, logotype font, display typography, logo logotype, invitationcard, weddinginvite, scriptfont, scriptcalligraphy, weddingfont, handwritingfont, casualfont, signature script, beautiful font, lovely font, script modern, invitation card, casual fonts, popular font, poster fonts, signatures, popular fonts, packaging designs, logo typeface, script letters, logo kit, script font 2019, wedding invite font, poster ads, script letter, wedding text, logo-type, signaturefont, handwritten display, photograper, handwritten sans, poster handwritten, beauty fonts, calligrafic, calligraphy typeface, wedding style, casually, popular culture, handwritting font, photography font, signature photography, website fonts, fashionista font, wedding decor, spring font, bridal font, calligraphy styles, beautiful calligraphy, handwritten calligraphy, promotionfonts, logo template, fashion fonts, signature logo, signatures font, packaging label, posterized, spring herbs, heading, playful, decorative, romantic, comic, brush, pictographs, icons, calligraphy, calligraphy header, book jackets, nice, wedding, script, calligraphic, displayâ, bookâ jackets</t>
  </si>
  <si>
    <t>Mells Highland</t>
  </si>
  <si>
    <t>Natural Ink</t>
  </si>
  <si>
    <t>Arif Gunawan</t>
  </si>
  <si>
    <t>imagens\Mells_Highland.png</t>
  </si>
  <si>
    <t>https://www.myfonts.com/pt/collections/mells-highland-font-naturalink</t>
  </si>
  <si>
    <t>Typeface, Typography, Alphabet, Retro, Groovy, Font, Design, Type, Letter, Lettering, Poster, Creative, Vintage, Bold, Display, Headline, Logo, Brand, Logotype, Business</t>
  </si>
  <si>
    <t>Fun Cheese</t>
  </si>
  <si>
    <t>FunFont</t>
  </si>
  <si>
    <t>Bustanul Arifin</t>
  </si>
  <si>
    <t>imagens\Fun_Cheese.png</t>
  </si>
  <si>
    <t>https://www.myfonts.com/pt/collections/fun-cheese-font-funfont</t>
  </si>
  <si>
    <t>Cartoon, Cheesy, Chunky, Comic, Delicious, Edible, Food, Fun, Gooey, Jumbo, Layered, Melty, Novelty, Playful, Pop, Quirky, Cheese, Snack, Soft</t>
  </si>
  <si>
    <t>GW Gearly</t>
  </si>
  <si>
    <t>imagens\GW_Gearly.png</t>
  </si>
  <si>
    <t>https://www.myfonts.com/pt/collections/gw-gearly-font-goodwheel-studio</t>
  </si>
  <si>
    <t>Display Font, Variable Font, Fonts, Font Family, Salnted Font, Branding, Graphic Design, Retro Font, Vintage Font, Bold Font, Fat Font</t>
  </si>
  <si>
    <t>Aqeon</t>
  </si>
  <si>
    <t>imagens\Aqeon.png</t>
  </si>
  <si>
    <t>https://www.myfonts.com/pt/collections/aqeon-font-drizy-font</t>
  </si>
  <si>
    <t>Display, Rounded, Cute, Modern, Funk, Sci-fi, Futuristic, Layared Font</t>
  </si>
  <si>
    <t>Moxin</t>
  </si>
  <si>
    <t>Koplexs Studio</t>
  </si>
  <si>
    <t>Ahmad Muslimin</t>
  </si>
  <si>
    <t>imagens\Moxin.png</t>
  </si>
  <si>
    <t>https://www.myfonts.com/pt/collections/moxin-font-koplexs-studio</t>
  </si>
  <si>
    <t>Futuristic, Tech, Techno, Robot, Modern, Sci-fi, Sans Serif Font, Corporate, Contemporary, Display, Logo, Sport, Magazine, Packaging, Cover, High Tech, Heading, Game, Branding, Bold</t>
  </si>
  <si>
    <t>Ruskaf</t>
  </si>
  <si>
    <t>imagens\Ruskaf.png</t>
  </si>
  <si>
    <t>https://www.myfonts.com/pt/collections/ruskaf-font-ragamkata</t>
  </si>
  <si>
    <t>Playful, Kids, Bold, Fun, Sans, Ligature, Happy, Bubble, Modern, Creative, Cartoon, Font, Typeface, Comic, Cute, Stylish, Book, Magazine, Trendy</t>
  </si>
  <si>
    <t>Bring The House Down</t>
  </si>
  <si>
    <t>Hanoded</t>
  </si>
  <si>
    <t>David Kerkhoff</t>
  </si>
  <si>
    <t>imagens\Bring_The_House_Down.png</t>
  </si>
  <si>
    <t>https://www.myfonts.com/pt/collections/bring-the-house-down-font-hanoded</t>
  </si>
  <si>
    <t>Loud, Family, Multilingual, CALT, Alternates, Contemporary, Handmade, Product, Packaging, Website, Poster, Headline, Book Cover, Cover Art</t>
  </si>
  <si>
    <t>Power Strain</t>
  </si>
  <si>
    <t>imagens\Power_Strain.png</t>
  </si>
  <si>
    <t>https://www.myfonts.com/pt/collections/power-strain-font-shanaf</t>
  </si>
  <si>
    <t>Futuristic Font, Industrial Font, Display Font, Bold Font, Strong Font, Modern Font, Power Font, Sci-fi Font, Tech Font, Mechanical Font, Gaming Font, Sport Font, Logo Font, Branding Font, Poster Font, Headline Font, Robotic Font, Heavy Font, Movie Font, Cyber Font</t>
  </si>
  <si>
    <t>Moltar</t>
  </si>
  <si>
    <t>imagens\Moltar.png</t>
  </si>
  <si>
    <t>https://www.myfonts.com/pt/collections/moltar-font-shanaf</t>
  </si>
  <si>
    <t>Retro Font, Vintage Font, Bold Font, Display Font, Modern Font, Coffee Font, Cafe Font, Logo Font, Branding Font, Groovy Font, Rounded Font, Reverse Contrast, Nostalgic Font, Geometric Font, Soft Font, Friendly Font, Playful Font, Headline Font, Poster Font, Modern Retro</t>
  </si>
  <si>
    <t>Ironcore</t>
  </si>
  <si>
    <t>imagens\Ironcore.png</t>
  </si>
  <si>
    <t>https://www.myfonts.com/pt/collections/ironcore-font-shanaf</t>
  </si>
  <si>
    <t>Condensed Font, Bold Font, Display Font, Modern Font, Coffee Font, Cafe Font, Ligature Font, Strong Font, Geometric Font, Logo Font, Branding Font, Packaging Font, Poster Font, Industrial Font, Sans Serif Font, Urban Font, Title Font, Headline Font, Tall Font, Modern Display</t>
  </si>
  <si>
    <t>MC Satota Qeiken</t>
  </si>
  <si>
    <t>imagens\MC_Satota_Qeiken.png</t>
  </si>
  <si>
    <t>https://www.myfonts.com/pt/collections/mc-satota-qeiken-font-maulana-creative</t>
  </si>
  <si>
    <t>Casual Font, Display Font, Sans Serif, Bold Typography, Rounded Font, Playful Typeface, Happy Font, Fun Design, Kids Font, Children's Book, Cartoon Style, Logo Design, Branding Font, Cafe Logo, Bakery Packaging, Food Branding, T-shirt Design, Hand Drawn, Creative Lettering, Unique Design</t>
  </si>
  <si>
    <t>Black Mickey</t>
  </si>
  <si>
    <t>imagens\Black_Mickey.png</t>
  </si>
  <si>
    <t>https://www.myfonts.com/pt/collections/black-mickey-font-bayuktx</t>
  </si>
  <si>
    <t>Quirky, Typeface, Playful, Cartoon, Funky, Funny, Kids, Unique, Decorative, Cute, Trendy, Game, Child, Poster, Logotype, Crafted, Tittle, Fluffy, Branding, Display</t>
  </si>
  <si>
    <t>Boldozer</t>
  </si>
  <si>
    <t>Moataz Mady</t>
  </si>
  <si>
    <t>imagens\Boldozer.png</t>
  </si>
  <si>
    <t>https://www.myfonts.com/pt/collections/boldozer-font-moataz-mady</t>
  </si>
  <si>
    <t>Bold, Black, Wide, Title, Heading, Social Media, Logo, Prominent, Impactful, Grotesque, Human, Sans, Strong, Attractive, Eye Catching, Print, Banner, Content, Youtube</t>
  </si>
  <si>
    <t>Retro Witch</t>
  </si>
  <si>
    <t>imagens\Retro_Witch.png</t>
  </si>
  <si>
    <t>https://www.myfonts.com/pt/collections/retro-witch-font-brown-cupple-typeface</t>
  </si>
  <si>
    <t>Halloween, Horror, Display, Groovy, Retro, Handwritten, Handwriting, Spooky, Creepy, Bold, Duo Font, Movie, Poster, Book, Cover Book, Witch, Magic</t>
  </si>
  <si>
    <t>Fastura</t>
  </si>
  <si>
    <t>imagens\Fastura.png</t>
  </si>
  <si>
    <t>https://www.myfonts.com/pt/collections/fastura-font-inviline</t>
  </si>
  <si>
    <t>Brush, Script, Winter, Fastura, Bold, Typeface, Handwritten, Brush Script, Bold Script, Smooth Font, Brush Font, Holiday Font, Festive, Retro, Poster Font, Snow Font, Quote Font, Display Font, Warm, Casual</t>
  </si>
  <si>
    <t>Holly Lovly</t>
  </si>
  <si>
    <t>imagens\Holly_Lovly.png</t>
  </si>
  <si>
    <t>https://www.myfonts.com/pt/collections/holly-lovly-font-bayuktx</t>
  </si>
  <si>
    <t>Brush, Poster, Handwritten, Valentine, Decorative, Typeface, Invitation, Label, Template, Urban, Title, Brochure, Business, Comic, Cartoon, Funny, Quote, Handmade, Feminine, Handcrafted</t>
  </si>
  <si>
    <t>Asperia Maestro</t>
  </si>
  <si>
    <t>NicolassFonts</t>
  </si>
  <si>
    <t>Nikolay Savchuk</t>
  </si>
  <si>
    <t>imagens\Asperia_Maestro.png</t>
  </si>
  <si>
    <t>https://www.myfonts.com/pt/collections/asperia-maestro-font-nicolass-fonts</t>
  </si>
  <si>
    <t>Modern, Antiqua, Display, Packaging, Semi-serif, Calligraphy, Heading, Decorative, Clean, Poster, Elegant, Business Cards, Fashion, Headline, Individual, Logo, Identity, Book, Magazine, Contemporary</t>
  </si>
  <si>
    <t>Respro</t>
  </si>
  <si>
    <t>imagens\Respro.png</t>
  </si>
  <si>
    <t>https://www.myfonts.com/pt/collections/respro-font-limitype</t>
  </si>
  <si>
    <t>Bold, Modern, Futuristic, Dynamic, Display, Headline, Strong, Tech, Digital, Clean, Geometric, Gaming, Esport, Retro, Sport, Powerful, Visual, Stylish, Neo, Scifi</t>
  </si>
  <si>
    <t>Nectron</t>
  </si>
  <si>
    <t>Angga Mahardika</t>
  </si>
  <si>
    <t>imagens\Nectron.png</t>
  </si>
  <si>
    <t>https://www.myfonts.com/pt/collections/nectron-font-angga-mahardika</t>
  </si>
  <si>
    <t>Sans Serif, Display, Bold, Geometric, Modern, Clean, Minimal, Contemporary, Futuristic, Professional, Strong, Sharp, Branding, Logo, Headline, Poster, Typography, Tech, Sleek, Versatile</t>
  </si>
  <si>
    <t>Kitty Rawr</t>
  </si>
  <si>
    <t>Wyarecreatype</t>
  </si>
  <si>
    <t>Yudi Setiawan</t>
  </si>
  <si>
    <t>imagens\Kitty_Rawr.png</t>
  </si>
  <si>
    <t>https://www.myfonts.com/pt/collections/kitty-rawr-font-wyarecreatype</t>
  </si>
  <si>
    <t>Kids Font, Cute Font, Display Font, Groovy Font, Bubble Font, Dinosaur Font, Cat Font, Playful Font, Kawaii Font, Cartoon Font</t>
  </si>
  <si>
    <t>Fox Jumbo</t>
  </si>
  <si>
    <t>imagens\Fox_Jumbo.png</t>
  </si>
  <si>
    <t>https://www.myfonts.com/pt/collections/fox-jumbo-font-fox7</t>
  </si>
  <si>
    <t>Bubble Font, Chunky Font, Kids Font, Playful Font, Cute Font, Cartoon Font, Bold Font, Bubbly Typeface, Bubble Letters, Puffy Font, Children Font, Fun Font, Comic Font, Heavy Font, Soft Font, Balloon Font, Decorative Font, T-shirt Font, Y2K Font, Groovy Font</t>
  </si>
  <si>
    <t>Defkins</t>
  </si>
  <si>
    <t>imagens\Defkins.png</t>
  </si>
  <si>
    <t>https://www.myfonts.com/pt/collections/defkins-font-four-lines-std</t>
  </si>
  <si>
    <t>Bubblepopfont, Retrofont, Popmoodfont, Fundisplayfont, Boldplayfont, Groovybubblefont, Retrotypefont, Playmoodfont, Happylettersfont, Funkydisplayfont, Popspiritfont, Joyfultypefont, Roundedmoodfont, Brighttypefont, Softdisplayfont, Retroenergyfont, Boldbubblefont, Popstylefont, Funtypographyfont, Cheerfuldisplayfont</t>
  </si>
  <si>
    <t>Pottred</t>
  </si>
  <si>
    <t>Glyphminds Studios</t>
  </si>
  <si>
    <t>Baliya Ibnu Bi Malkan</t>
  </si>
  <si>
    <t>imagens\Pottred.png</t>
  </si>
  <si>
    <t>https://www.myfonts.com/pt/collections/pottred-font-glyphminds-studios</t>
  </si>
  <si>
    <t>Bold Display Font, Playful Font, Modern Font, Retro Font, Rounded Font, Chunky Font, Vintage Font, Headline Font, Logo Font, Poster Font, Branding Font, Minimalist Font, Fun Font, Creative Font, Thick Font, Sans Serif Font, Pop Art Font, 70s Font, Groovy Font, Modern Bold Font</t>
  </si>
  <si>
    <t>Rexa Bold</t>
  </si>
  <si>
    <t>imagens\Rexa_Bold.png</t>
  </si>
  <si>
    <t>https://www.myfonts.com/pt/collections/rexa-bold-font-nirmana-visual</t>
  </si>
  <si>
    <t>Bold, Sport, Modern, Display, Clean, Logo, Branding, Poster, Extrude</t>
  </si>
  <si>
    <t>Retro Depa</t>
  </si>
  <si>
    <t>imagens\Retro_Depa.png</t>
  </si>
  <si>
    <t>https://www.myfonts.com/pt/collections/retro-depa-font-nirmana-visual</t>
  </si>
  <si>
    <t>Retro, Vintage, Nostalgic, Bold, Extrude, Playful, Logo, Branding, Food, Packaging, Headline, Posters, Labels, Classic</t>
  </si>
  <si>
    <t>Ferron</t>
  </si>
  <si>
    <t>Nollev</t>
  </si>
  <si>
    <t>Akhmad Hidayat</t>
  </si>
  <si>
    <t>imagens\Ferron.png</t>
  </si>
  <si>
    <t>https://www.myfonts.com/pt/collections/ferron-font-nollev</t>
  </si>
  <si>
    <t>Ultra Bold, Heavy, Black, Sans Serif, Display, Geometric, Solid, Variable, Expanded, Ferron Font, Condensed, Sport, Gaming, Headline, Poster, Energy Drink, Logo, Branding, Futuristic, Strong</t>
  </si>
  <si>
    <t>Chonk</t>
  </si>
  <si>
    <t>Layerform Design Co</t>
  </si>
  <si>
    <t>Eddy Biel</t>
  </si>
  <si>
    <t>imagens\Chonk.png</t>
  </si>
  <si>
    <t>https://www.myfonts.com/pt/collections/chonk-font-layerform-design-co</t>
  </si>
  <si>
    <t>Chunky, Chunk, Thick, Chunky Font, Thick Font, Wide, Large, Fat, Fat Font, Dense, Tight, Display, Bold Font, Bold, Wide Font, Bold Chunky Font, Packaging, Packaging Design, Logo</t>
  </si>
  <si>
    <t>Belarose</t>
  </si>
  <si>
    <t>Oct 28, 2025</t>
  </si>
  <si>
    <t>imagens\Belarose.png</t>
  </si>
  <si>
    <t>https://www.myfonts.com/pt/collections/belarose-font-qweera-studio</t>
  </si>
  <si>
    <t>Modern Serif Font, Elegant Serif Typeface, Luxury Serif Font, Classic Editorial Font, Display Serif Typeface, Stylish Serif Family, High Contrast Serif, Timeless Serif Font, Magazine Title Font, Chic Fashion Font, Ligature Serif Font, Contemporary Serif, Branding Logo Font, Classy Serif Type, Refined Serif Design, Vintage Serif Font, Bold Serif Headline, Minimal Serif Typeface, Modern Luxury Serif, Elegant Display Serif</t>
  </si>
  <si>
    <t>Betro Vogue</t>
  </si>
  <si>
    <t>imagens\Betro_Vogue.png</t>
  </si>
  <si>
    <t>https://www.myfonts.com/pt/collections/betro-vogue-font-qweera-studio</t>
  </si>
  <si>
    <t>Cobweb Afternoon</t>
  </si>
  <si>
    <t>Kitchen Table Type Foundry</t>
  </si>
  <si>
    <t>imagens\Cobweb_Afternoon.png</t>
  </si>
  <si>
    <t>https://www.myfonts.com/pt/collections/cobweb-afternoon-font-kitchen-table-type-foundry</t>
  </si>
  <si>
    <t>Handy, Lovely, Tall, Thin, Script, Caps, Multilingual, Modern, Contemporary, Handmade, Product, Packaging, Book Cover, Website, Labelling</t>
  </si>
  <si>
    <t>MC Battosain</t>
  </si>
  <si>
    <t>imagens\MC_Battosain.png</t>
  </si>
  <si>
    <t>https://www.myfonts.com/pt/collections/mc-battosain-font-maulana-creative</t>
  </si>
  <si>
    <t>Handwritten Font, Script Font, Signature Style, Casual Script, Branding Font, Modern Script, Elegant Font, Wedding Font, Logo Font, Digital Signature, Typography Design, Creative Market, Feminine Font, Stylish Script, Personal Touch, Luxury Branding, Photography Logo, Beautiful Script, Minimalist Font, Clean Handwriting</t>
  </si>
  <si>
    <t>Primor Stylish</t>
  </si>
  <si>
    <t>Typebae</t>
  </si>
  <si>
    <t>Iqbal Pauji</t>
  </si>
  <si>
    <t>imagens\Primor_Stylish.png</t>
  </si>
  <si>
    <t>https://www.myfonts.com/pt/collections/primor-stylish-font-typebae</t>
  </si>
  <si>
    <t>Serif, Luxury, Elegant, Modern, Script, Signature, Handwritten, Branding, Stylish, Fashion, Wedding, Logo, Classy, Feminine, Romantic</t>
  </si>
  <si>
    <t>DB Summerween</t>
  </si>
  <si>
    <t>imagens\DB_Summerween.png</t>
  </si>
  <si>
    <t>https://www.myfonts.com/pt/collections/db-summerween-font-lettering-delights</t>
  </si>
  <si>
    <t>Vinyl, Dingbat, Dingbat Font, Glyph Font, Symbol Font, Picture Font, Halloween, Scary, Creepy, Sister Font, Monsters, Tropical, Summer, Ghosts, Tucan, Watermelon, Summerween</t>
  </si>
  <si>
    <t>Yerindar</t>
  </si>
  <si>
    <t>imagens\Yerindar.png</t>
  </si>
  <si>
    <t>https://www.myfonts.com/pt/collections/yerindar-font-tini-fitriani</t>
  </si>
  <si>
    <t>Serif, Display, Modern Font, Wedding, Luxury, Elegant, Classic, Minimal, Aesthetic, Classy, Logotype, Headline, Fashion, Elegant Serif, Wedding Serif, Magazine, Wedding Font, Invitation Font, Beautiful, Stylish Font</t>
  </si>
  <si>
    <t>Reaons</t>
  </si>
  <si>
    <t>imagens\Reaons.png</t>
  </si>
  <si>
    <t>https://www.myfonts.com/pt/collections/reaons-font-timelesstype-studio</t>
  </si>
  <si>
    <t>Elegant Thin Serif Font, Elegant, Luxury, High-Contrast, Thin Serif, Sophisticated, Modern Classic, Refined, Glamorous, Luxury Branding, High Fashion, Editorial Design, Logotypes, Premium Packaging, Jewelry Design, Display Headlines, Corporate Identity</t>
  </si>
  <si>
    <t>Solvera Lorvane</t>
  </si>
  <si>
    <t>imagens\Solvera_Lorvane.png</t>
  </si>
  <si>
    <t>https://www.myfonts.com/pt/collections/solvera-lorvane-font-muksal-creatives</t>
  </si>
  <si>
    <t>Typography, Font Design, Serif Typeface, Display Font, Editorial Design, Luxury Branding, Magazine Design, Fashion Typography, Visual Identity, Logo Design, Packaging Design, Modern Serif, Minimalist Design</t>
  </si>
  <si>
    <t>ZP Simpleton</t>
  </si>
  <si>
    <t>imagens\ZP_Simpleton.png</t>
  </si>
  <si>
    <t>https://www.myfonts.com/pt/collections/zp-simpleton-font-lettering-delights</t>
  </si>
  <si>
    <t>Hand-crafted, Crafty, Hand-written, Hand Written, Print, Hand-printed, Retro, Rounded, Triple Line, Homemade, 1960's, Hippy, Sixties</t>
  </si>
  <si>
    <t>Domica Sauvage</t>
  </si>
  <si>
    <t>imagens\Domica_Sauvage.png</t>
  </si>
  <si>
    <t>https://www.myfonts.com/pt/collections/domica-sauvage-font-qweera-studio</t>
  </si>
  <si>
    <t>Ayudishia</t>
  </si>
  <si>
    <t>Hadiftype</t>
  </si>
  <si>
    <t>Said Ismail</t>
  </si>
  <si>
    <t>imagens\Ayudishia.png</t>
  </si>
  <si>
    <t>https://www.myfonts.com/pt/collections/ayudishia-font-hadiftype</t>
  </si>
  <si>
    <t>Handwritten, Script, Elegant, Modern, Calligraphy, Feminine, Cursive, Signature, Stylish, Aesthetic, Wedding, Branding, Logo, Invitation, Romantic, Lettering, Beautiful, Luxury, Classy</t>
  </si>
  <si>
    <t>Ribbonetta</t>
  </si>
  <si>
    <t>Sudtipos</t>
  </si>
  <si>
    <t>Alejandro Paul</t>
  </si>
  <si>
    <t>imagens\Ribbonetta.png</t>
  </si>
  <si>
    <t>https://www.myfonts.com/pt/collections/ribbonetta-font-sudtipos</t>
  </si>
  <si>
    <t>Lettering, Stationery, Calligraphy, Trendy, Wedding, Sudtipos, Packaging, Elegant, Exquisite</t>
  </si>
  <si>
    <t>Gegisa</t>
  </si>
  <si>
    <t>imagens\Gegisa.png</t>
  </si>
  <si>
    <t>https://www.myfonts.com/pt/collections/gegisa-font-rotterlab-studio</t>
  </si>
  <si>
    <t>Serif, Elegant, Classic, Editorial, Timeless, High Contrast, Vintage, Modern, Magazine, Branding, Display Font, Premium, Business, Headline, Variable, Fashion, Minimalist, Scotch Roman, Broadcast, Modern Serif</t>
  </si>
  <si>
    <t>Stickle</t>
  </si>
  <si>
    <t>K-Type</t>
  </si>
  <si>
    <t>Keith Bates</t>
  </si>
  <si>
    <t>imagens\Stickle.png</t>
  </si>
  <si>
    <t>https://www.myfonts.com/pt/collections/stickle-font-k-type</t>
  </si>
  <si>
    <t>Angular, Branding, Condensed, Display, Futuristic, Minimalist, Monoline, Packaging, Poster, Sans-serif, Title, Sci-fi, Technical, Industrial</t>
  </si>
  <si>
    <t>Designer nativo</t>
  </si>
  <si>
    <t>imagens\Designer_nativo.png</t>
  </si>
  <si>
    <t>https://www.myfonts.com/pt/collections/native-designer-font-sarid-ezra</t>
  </si>
  <si>
    <t>Elegant Fonts, Fancy Fonts, Serif Fonts, Modern Fonts, Wedding, Classy, Fashion, Fashionable, Fashion Fonts, Branding, Logo, Feminine, Display Fonts, Aesthetic Font, Love Fonts, Stylish Fonts, Glamour Fonts, Italic, True Italic, Magazine</t>
  </si>
  <si>
    <t>Lessway</t>
  </si>
  <si>
    <t>imagens\Lessway.png</t>
  </si>
  <si>
    <t>https://www.myfonts.com/pt/collections/lessway-font-qweera-studio</t>
  </si>
  <si>
    <t>Wicked Paint</t>
  </si>
  <si>
    <t>imagens\Wicked_Paint.png</t>
  </si>
  <si>
    <t>https://www.myfonts.com/pt/collections/wicked-paint-font-shanaf</t>
  </si>
  <si>
    <t>Graffiti Font, Horror Font, Dripping Font, Street Font, Display Font, Bold Font, Halloween Font, Scary Font, Paint Font, Horror Typeface, Grunge Font, Edgy Font, Urban Font, Street Art Font, Bold Display, Dark Font, Spooky Font, Poster Font, Logo Font, Branding Font</t>
  </si>
  <si>
    <t>YT Cutline</t>
  </si>
  <si>
    <t>Yangtype</t>
  </si>
  <si>
    <t>Yona Yang</t>
  </si>
  <si>
    <t>imagens\YT_Cutline.png</t>
  </si>
  <si>
    <t>https://www.myfonts.com/pt/collections/yt-cutline-font-yangtype</t>
  </si>
  <si>
    <t>Concept, Logo, Design, Conceptual, Attracting, Charm, Process, Intensity, Strong, Sense, Using, Picture, Create, Human, Imagination, Contain, Rich, Geometric</t>
  </si>
  <si>
    <t>Meera</t>
  </si>
  <si>
    <t>GrafikarFonts</t>
  </si>
  <si>
    <t>Ammar Bouras</t>
  </si>
  <si>
    <t>imagens\Meera.png</t>
  </si>
  <si>
    <t>https://www.myfonts.com/pt/collections/meera-font-grafikarfonts</t>
  </si>
  <si>
    <t>Arabic, Arabic Fonts, Arabic Letters, Glyphs, Arabic Typeface, Farsi, Ourdou, Latin, Elegance, Clarity, Naskh Moderne, Naskh, Stylistic, Alternates, Localized Forms, European, Branding, Brush, Calligraphy, Modern Calligraphy</t>
  </si>
  <si>
    <t>Ocular Doom</t>
  </si>
  <si>
    <t>imagens\Ocular_Doom.png</t>
  </si>
  <si>
    <t>https://www.myfonts.com/pt/collections/ocular-doom-font-alit-design</t>
  </si>
  <si>
    <t>Ocular Doom, Horror Font, Scary Font, Gothic Font, Blackletter Font, Metal Font, Doom Metal Font, Black Metal Font, Occult Font, Mystical Font, Dark Font, Display Font, Decorative Font, Halloween Font, Skull Font, Eye Font, Sigil Font, Typeface With Alternates</t>
  </si>
  <si>
    <t>Glen Etive</t>
  </si>
  <si>
    <t>Thistle Type</t>
  </si>
  <si>
    <t>Rae Arnott</t>
  </si>
  <si>
    <t>imagens\Glen_Etive.png</t>
  </si>
  <si>
    <t>https://www.myfonts.com/pt/collections/glen-etive-font-braw-type</t>
  </si>
  <si>
    <t>Display, Uppercase, All Caps, Sans Serif, Clean, Modern, Geometric, Dramatic, Confident, Strong, Bold, Editorial, Heading, Title, Poster, Advertising, Adventure, Multilingual, Magazine, Branding</t>
  </si>
  <si>
    <t>Cavren Sans</t>
  </si>
  <si>
    <t>Typehill Studio</t>
  </si>
  <si>
    <t>Teuku Fahruddin</t>
  </si>
  <si>
    <t>imagens\Cavren_Sans.png</t>
  </si>
  <si>
    <t>https://www.myfonts.com/pt/collections/cavren-sans-font-typehill-studio</t>
  </si>
  <si>
    <t>Sans Serif, Modern, Clean, Geometric, Humanist, Minimalist, Elegant, Professional, Versatile, Contemporary, Refined, Balanced, Stylish, Branding, Logo, Editorial, Display, Text, Headline, Webfont</t>
  </si>
  <si>
    <t>Avoxan</t>
  </si>
  <si>
    <t>imagens\Avoxan.png</t>
  </si>
  <si>
    <t>https://www.myfonts.com/pt/collections/avoxan-font-pista-mova</t>
  </si>
  <si>
    <t>Slant, Classy Font, Serif, 90's, Font Serif, Elegant, Variable-font, Modern, Cosmetic, Slab Serif, Display Serif, Elegance, Serif Bold, Serif Text, Elegant Serif, Bold Serif, Branding Serif, Bold Serif Font, Decorative Serif Font, Luxury Serif Fonts</t>
  </si>
  <si>
    <t>Pixmon Round</t>
  </si>
  <si>
    <t>Greentrik6789</t>
  </si>
  <si>
    <t>Tri Kuncoro</t>
  </si>
  <si>
    <t>imagens\Pixmon_Round.png</t>
  </si>
  <si>
    <t>https://www.myfonts.com/pt/collections/pixmon-round-font-greentrik6789</t>
  </si>
  <si>
    <t>Pixmon, Display, Monospace, Retro, Futuristic, Distinctive, Shadow, Hollow, Stencil, Grid, Round, Logo, Poster, Game, Branding, Company, Design, Bold, Type, Strong</t>
  </si>
  <si>
    <t>Devroon Royale</t>
  </si>
  <si>
    <t>imagens\Devroon_Royale.png</t>
  </si>
  <si>
    <t>https://www.myfonts.com/pt/collections/devroon-royale-font-zaain-type</t>
  </si>
  <si>
    <t>Advertising, Book, Branding, Business, Casual, Decorative, Display, Elegant, Headline, Logo, Magazine, Modern, Social Media, Title, Web Font, Packaging, Clothing, Beautiful, Classy, Soft</t>
  </si>
  <si>
    <t>Cairde Luvia</t>
  </si>
  <si>
    <t>imagens\Cairde_Luvia.png</t>
  </si>
  <si>
    <t>https://www.myfonts.com/pt/collections/cairde-luvia-font-qweera-studio</t>
  </si>
  <si>
    <t>Marry Love</t>
  </si>
  <si>
    <t>Aisyah</t>
  </si>
  <si>
    <t>Nur Aiysah Amalia</t>
  </si>
  <si>
    <t>imagens\Marry_Love.png</t>
  </si>
  <si>
    <t>https://www.myfonts.com/pt/collections/marry-love-font-aisyah</t>
  </si>
  <si>
    <t>Handwriting Font, Heart Font, Wedding, Invitation, Lovely Font, Business, Creative Project, Love, Promotion, Cute Font</t>
  </si>
  <si>
    <t>Gain Wisdom</t>
  </si>
  <si>
    <t>imagens\Gain_Wisdom.png</t>
  </si>
  <si>
    <t>https://www.myfonts.com/pt/collections/gain-wisdom-font-seemly-fonts</t>
  </si>
  <si>
    <t>Handwritten, Display Font, Typeface, Modern Font, Decorative Font, Fresh Font, New Font, Banner Font, Logo, Logo Font</t>
  </si>
  <si>
    <t>Globet Caps</t>
  </si>
  <si>
    <t>deFharo</t>
  </si>
  <si>
    <t>Fernando Haro</t>
  </si>
  <si>
    <t>imagens\Globet_Caps.png</t>
  </si>
  <si>
    <t>https://www.myfonts.com/pt/collections/globet-caps-font-defharo</t>
  </si>
  <si>
    <t>Display, Capitals, Small Caps, Petite Caps, Round, Geometric, Grotesque, Sans Serif, Logos, Media, Editorial, Open Type, Bitcoin, Alternates, Currencies, Headtitles, Packaging, Latin Extended-A, Arrows, Rounded</t>
  </si>
  <si>
    <t>Moonlit Muse</t>
  </si>
  <si>
    <t>imagens\Moonlit_Muse.png</t>
  </si>
  <si>
    <t>https://www.myfonts.com/pt/collections/moonlit-muse-font-tini-fitriani</t>
  </si>
  <si>
    <t>Script, Handwritten, Handwritting, Vintage, Nostalgic, Vintage Script, Hippie, Summer, Wedding, Modern Calligraphy, Beautiful Font, Luxury, Fancy, Magazine, Minimalist, Typography, Whimsical, Romantic, Cursive, Lettering</t>
  </si>
  <si>
    <t>The Esteh Italic Slant</t>
  </si>
  <si>
    <t>Anaya Studio</t>
  </si>
  <si>
    <t>Julizar Ismail</t>
  </si>
  <si>
    <t>imagens\The_Esteh_Italic_Slant.png</t>
  </si>
  <si>
    <t>https://www.myfonts.com/pt/collections/the-esteh-italic-slant-font-anaya-studio</t>
  </si>
  <si>
    <t>Chic Font, Serif Font, Stylish, Vintage, Minimal, Fashionable, Expensive, 80s, 90s, Feminine, Women</t>
  </si>
  <si>
    <t>MC Klowin Beruar</t>
  </si>
  <si>
    <t>imagens\MC_Klowin_Beruar.png</t>
  </si>
  <si>
    <t>https://www.myfonts.com/pt/collections/mc-klowin-beruar-font-maulana-creative</t>
  </si>
  <si>
    <t>Bold Script, Brush Font, Street Style, Urban Art, Display Font, Hand Drawn, Graffiti Vibe, Modern Type, Cool Lettering, Youth Culture, Rebel Spirit, Trendy Font, Poster Design, Album Cover, Edgy Look, Creative Project, Dynamic Flow, Powerful Statement, Graphic Asset, Unique Script</t>
  </si>
  <si>
    <t>Majority Reminder</t>
  </si>
  <si>
    <t>Fikryal</t>
  </si>
  <si>
    <t>Muhammad Fikry</t>
  </si>
  <si>
    <t>imagens\Majority_Reminder.png</t>
  </si>
  <si>
    <t>https://www.myfonts.com/pt/collections/majority-reminder-font-fikryal</t>
  </si>
  <si>
    <t>Signature Font, Handwritten Script Font, Elegant Signature Typeface, Logo Font, Branding Font, Modern Signature Script, Cursive Handwriting Font, Fashion Logo Font, Personal Branding Font, Luxury Font</t>
  </si>
  <si>
    <t>La Garpia</t>
  </si>
  <si>
    <t>Hishand Studio</t>
  </si>
  <si>
    <t>Putu Dody Permana</t>
  </si>
  <si>
    <t>imagens\La_Garpia.png</t>
  </si>
  <si>
    <t>https://www.myfonts.com/pt/collections/la-garpia-font-hishand-studio</t>
  </si>
  <si>
    <t>Script, Handwriting, Handwritten, Tropical, Chill, Brush, Cool, Logo, Logotype, Branding, Marketing, Beautiful, Elegant, Aesthetic, Modern, Classic, Classy, Natural</t>
  </si>
  <si>
    <t>Kolithagente</t>
  </si>
  <si>
    <t>imagens\Kolithagente.png</t>
  </si>
  <si>
    <t>https://www.myfonts.com/pt/collections/kolithagente-font-made-deduk</t>
  </si>
  <si>
    <t>Blackletter, Victorian, Decorative, Logotype, Typography, Tattoo, Brandidentity, Vintage, Classy, Headline Type, Book Cover Font, Modern Blackletter, Ornament Font, Metal Font, Fashion Font, Stylistic Ligature, Bold Lettering, Textured Typeface, Poster Typography, Fantasy Font</t>
  </si>
  <si>
    <t>Agraph</t>
  </si>
  <si>
    <t>La DactyloGraphique</t>
  </si>
  <si>
    <t>Anne-laure Jean</t>
  </si>
  <si>
    <t>imagens\Agraph.png</t>
  </si>
  <si>
    <t>https://www.myfonts.com/pt/collections/agraph-font-la-dactylographique</t>
  </si>
  <si>
    <t>Handwritten, Personal, Editorial, Book, Playful, Latin, Glyphs, Quirky, Indie</t>
  </si>
  <si>
    <t>Glendork</t>
  </si>
  <si>
    <t>imagens\Glendork.png</t>
  </si>
  <si>
    <t>https://www.myfonts.com/pt/collections/glendork-font-denustudio</t>
  </si>
  <si>
    <t>Blackletter, Victorian, Vintage, Tattoo, Gothic, Medieval, Music, Black Metal, Death Metal, 80s, 90s, Old English, Ornate, Ornamental, Underground, Edgy, Whiskey</t>
  </si>
  <si>
    <t>Verlo Round</t>
  </si>
  <si>
    <t>imagens\Verlo_Round.png</t>
  </si>
  <si>
    <t>https://www.myfonts.com/pt/collections/verlo-round-font-kufic-studio</t>
  </si>
  <si>
    <t>Verlo Round, Rounded Sans Serif, Font Family, Modern Typeface, Clean Font, Rough Rounded, Rough Round Font, Friendly Font, Corporate Font, Soft Edges, Contemporary Typeface, Minimalist Font, Web Font, Game Font, UI Font, UX Font, High Legibility, Font Weights, Sribble Font, Shadow Font</t>
  </si>
  <si>
    <t>Decoraties</t>
  </si>
  <si>
    <t>imagens\Decoraties.png</t>
  </si>
  <si>
    <t>https://www.myfonts.com/pt/collections/decoraties-font-haniefart</t>
  </si>
  <si>
    <t>Blackletter Font, Decorative Font, Modern Font, Vintage Font, Elegan Font, Stylish Font, Branding Font, Business Font, Magazine Font, Movie Font, Wedding Font, Invitations Font, Poster Font, Flyer Font, Tshirt Font, Invitations Card, Valentine's, Halloween, Logotype, Typography</t>
  </si>
  <si>
    <t>Estin Loftin</t>
  </si>
  <si>
    <t>imagens\Estin_Loftin.png</t>
  </si>
  <si>
    <t>https://www.myfonts.com/pt/collections/estin-loftin-font-madjack-font</t>
  </si>
  <si>
    <t>Classic, Modern, Cosmetics, Typeface, Elegant, Display, Serif, Classy, Wedding, Feminine, Branding, Smooth, Curvy, Display Font, Serif Font, Family, Sharp</t>
  </si>
  <si>
    <t>Highmark</t>
  </si>
  <si>
    <t>imagens\Highmark.png</t>
  </si>
  <si>
    <t>https://www.myfonts.com/pt/collections/highmark-font-letterhend</t>
  </si>
  <si>
    <t>Condensed, Typeface, Headline, Sans Serif, Display, Logotype</t>
  </si>
  <si>
    <t>Glanzyo</t>
  </si>
  <si>
    <t>imagens\Glanzyo.png</t>
  </si>
  <si>
    <t>https://www.myfonts.com/pt/collections/glanzyo-font-ragamkata</t>
  </si>
  <si>
    <t>Mdoern, Geometric, Sans, Sans Serif, Stencil, Futuristic, Technology, Branding, Minimal, Clean, Unique, Headline, Industrial, Packaging, Sleek, Logo, Tech</t>
  </si>
  <si>
    <t>MC Cookice</t>
  </si>
  <si>
    <t>imagens\MC_Cookice.png</t>
  </si>
  <si>
    <t>https://www.myfonts.com/pt/collections/mc-cookice-font-maulana-creative</t>
  </si>
  <si>
    <t>Cute Font, Display Typeface, Cookie Font, Dripping Effect, Sweet Treats, Food Lettering, Bakery Branding, Creamy Letters, Fun Typography, Delicious Design, Bubble Font, Groovy Style, Cake Shop, Kids Theme, Melted Chocolate, Sugar Rush, Unique Letters, Candy Font, Cartoon Style, Custom Font</t>
  </si>
  <si>
    <t>Bruteforce</t>
  </si>
  <si>
    <t>Kreuk Type Foundry</t>
  </si>
  <si>
    <t>Rendra Diardjo</t>
  </si>
  <si>
    <t>imagens\Bruteforce.png</t>
  </si>
  <si>
    <t>https://www.myfonts.com/pt/collections/bruteforce-font-kreuk-type-foundry</t>
  </si>
  <si>
    <t>Geometric, Bold, Modern, Futuristic, Sharp, Industrial, Minimal, Clean, Strong, Techno, Digital, Architectural, Tech, Mechanical, Headline, Branding, Poster, Gaming, Sports, SciFi</t>
  </si>
  <si>
    <t>Sunday Chalks Family</t>
  </si>
  <si>
    <t>Struggle Studio</t>
  </si>
  <si>
    <t>Andri Kurniawan</t>
  </si>
  <si>
    <t>imagens\Sunday_Chalks_Family.png</t>
  </si>
  <si>
    <t>https://www.myfonts.com/pt/collections/sunday-chalks-family-font-struggle-studio</t>
  </si>
  <si>
    <t>Sundaychalks, Chalkboardfont, Tshirtdesign, Brandingdesign, Headlinefont, Titlefont, Cafemenu, Childrensposter, Kidsdesign, Backtoschoolvibes, Craftydesign, Funfont, Playfuldesign, Cheerfulfont, Roughchalk, Chalktexture, Typography, Casualfont, Popular Font, Quotes Font</t>
  </si>
  <si>
    <t>Palrome</t>
  </si>
  <si>
    <t>imagens\Palrome.png</t>
  </si>
  <si>
    <t>https://www.myfonts.com/pt/collections/palrome-font-jafar07</t>
  </si>
  <si>
    <t>Retro, Display, Serif, Font, Groovy, Vintage, Bold, Wavy, Typography, Logo, Branding, Funky, Playful, Decorative, Modern, Stylish, Classic, 70s, 80s, Trendy</t>
  </si>
  <si>
    <t>Hasior</t>
  </si>
  <si>
    <t>Machalski</t>
  </si>
  <si>
    <t>Mateusz Machalski</t>
  </si>
  <si>
    <t>imagens\Hasior.png</t>
  </si>
  <si>
    <t>https://www.myfonts.com/pt/collections/hasior-font-borutta</t>
  </si>
  <si>
    <t>Woodcut, Mountain, Legacy, Sharp, Magazine, Machalski, Traditional, Wood, Cut, Logo, Logotype, Heritage, Food, Drink, Packaging</t>
  </si>
  <si>
    <t>Emasline Goldenstone</t>
  </si>
  <si>
    <t>imagens\Emasline_Goldenstone.png</t>
  </si>
  <si>
    <t>https://www.myfonts.com/pt/collections/emasline-goldenstone-font-burntilldead</t>
  </si>
  <si>
    <t>Thanksgiving Font, Sans Serif Font, Script Font, Elegant Font, Autumn Font, Duo Font, Cozy Font, Elegant Script, Fall Vibes Font, Warm Font, Handwritten Font, Wedding Font, Script and Sans Serif, Vintage Font, Romantic Font, Branding Font, Invitation Font, Modern, Elegant Duo Font</t>
  </si>
  <si>
    <t>Milkn Oonja</t>
  </si>
  <si>
    <t>imagens\Milkn_Oonja.png</t>
  </si>
  <si>
    <t>https://www.myfonts.com/pt/collections/milkn-oonja-font-erifqizefont</t>
  </si>
  <si>
    <t>Abstract, Experimental, Display, Modern, Futuristic, Geometric, Creative, Artistic, Expressive, Decorative, Unique, Avantgarde, Bold, Organic, Irregular, Contemporary, Headline, Logo, Poster, Branding</t>
  </si>
  <si>
    <t>Bedross</t>
  </si>
  <si>
    <t>imagens\Bedross.png</t>
  </si>
  <si>
    <t>https://www.myfonts.com/pt/collections/bedross-font-qweera-studio</t>
  </si>
  <si>
    <t>Bolaken</t>
  </si>
  <si>
    <t>imagens\Bolaken.png</t>
  </si>
  <si>
    <t>https://www.myfonts.com/pt/collections/bolaken-font-qweera-studio</t>
  </si>
  <si>
    <t>MC Lnomar</t>
  </si>
  <si>
    <t>imagens\MC_Lnomar.png</t>
  </si>
  <si>
    <t>https://www.myfonts.com/pt/collections/mc-lnomar-font-maulana-creative</t>
  </si>
  <si>
    <t>Spooky Font, Halloween Vibe, Horror Style, Creepy Design, Scary Letters, Display Type, Rough Texture, Hand Carved, Monster Text, Ghost Font, Pumpkin Art, Dark Theme, Wicked Look, Cursed Raven, Trick Treat, Devil Quote, Bold Letters, Eerie Vibes, Vintage Horror, Chilling Effect</t>
  </si>
  <si>
    <t>Carvello</t>
  </si>
  <si>
    <t>Webhance</t>
  </si>
  <si>
    <t>Ancy George</t>
  </si>
  <si>
    <t>imagens\Carvello.png</t>
  </si>
  <si>
    <t>https://www.myfonts.com/pt/collections/carvello-font-webhance</t>
  </si>
  <si>
    <t>Branding, Logofont, Instagramfont, Socialmediafont, Halloween, Candlelight, Timeless, Contemporary, Pumpkin, Decorative, Autumn, Stylish, Versatile, Invitations, Elegant</t>
  </si>
  <si>
    <t>Trabat Display</t>
  </si>
  <si>
    <t>Gian Studio</t>
  </si>
  <si>
    <t>Yusliana M Isa</t>
  </si>
  <si>
    <t>imagens\Trabat_Display.png</t>
  </si>
  <si>
    <t>https://www.myfonts.com/pt/collections/trabat-display-font-gian-studio</t>
  </si>
  <si>
    <t>Font Casual, Classic, Branding, Poster, Magazine, Film, Wedding Invitationt, Add Font, Web Font, Tex, Mug, Tumbler, Sticker, Magazine Layouts, Book Covers, Packaging, Media Graphics, Editorial, Contrast Serif, Elegant Serif</t>
  </si>
  <si>
    <t>Bumblepops</t>
  </si>
  <si>
    <t>Joe Hewitt Design</t>
  </si>
  <si>
    <t>Joe Hewitt</t>
  </si>
  <si>
    <t>imagens\Bumblepops.png</t>
  </si>
  <si>
    <t>https://www.myfonts.com/pt/collections/bumblepops-font-joe-hewitt-design</t>
  </si>
  <si>
    <t>Rounded, Kids, Fun, Boho, Lowercase, Playful, Bold, Clean, Books, Posters</t>
  </si>
  <si>
    <t>Muffy</t>
  </si>
  <si>
    <t>imagens\Muffy.png</t>
  </si>
  <si>
    <t>https://www.myfonts.com/pt/collections/muffy-font-vyantype-studio</t>
  </si>
  <si>
    <t>Playful, Playfulness, Joy, Children Handwrite, Handwritten, Playful Font, Cheerful, Cheerful Font, Children Font, Fun, Fun Font, Illustrations, Logo, Logo Font, Handwritten Font, Sans Serif Font, Fun Design Style, Multilingual, Aesthetic, Joyful Font</t>
  </si>
  <si>
    <t>Phillso</t>
  </si>
  <si>
    <t>imagens\Phillso.png</t>
  </si>
  <si>
    <t>https://www.myfonts.com/pt/collections/phillso-font-the-native-saint-club</t>
  </si>
  <si>
    <t>Bold Script Font, Monoline Script, Logo Font, Cafe Branding, Packaging Font, Display Font, Handmade Typeface, Branding Font, Cursive, Cafe Font, Bakery Font, Lettering, Script, Signature, Smooth Script, Headline Font, Packaging, Branding, Bold Script</t>
  </si>
  <si>
    <t>Bon Appairs</t>
  </si>
  <si>
    <t>imagens\Bon_Appairs.png</t>
  </si>
  <si>
    <t>https://www.myfonts.com/pt/collections/bon-appairs-font-sarid-ezra</t>
  </si>
  <si>
    <t>Watercolor Font, Svg Fonts, Organic, Svg, Handmade, Natural, Handmade Fonts, Script Fonts, Poster, Textured, Wedding, Fashion, Fashionable, Editorial, Fancy Fonts, Display Fonts, Strong, Modern, Hand Lettered Font, Rough Fonts</t>
  </si>
  <si>
    <t>Sundary Beach Script duo</t>
  </si>
  <si>
    <t>imagens\Sundary_Beach_Script_duo.png</t>
  </si>
  <si>
    <t>https://www.myfonts.com/pt/collections/sundary-beach-script-duo-font-cocodesign</t>
  </si>
  <si>
    <t>Calligraphy Font Script, Connected Font, Summer Font, Swashes Pua Encoded Alternates, Playful Fonts, Advanture Font, Couple Fonts, Cover Fonts, Craft Fonts, Crafty Fonts, Cricut Fonts, Cute Fonts, Cutting Fonts, Elegant Fonts, Father's Day Fonts, Fun Fonts, Greeting Card Fonts, Holiday Fonts, Logo Fonts, Logotype Fonts</t>
  </si>
  <si>
    <t>Costanera</t>
  </si>
  <si>
    <t>Compañía Tipográfica de Chile</t>
  </si>
  <si>
    <t>Raúl Israel</t>
  </si>
  <si>
    <t>imagens\Costanera.png</t>
  </si>
  <si>
    <t>https://www.myfonts.com/pt/collections/costanera-font-compania-tipografica-de-chile</t>
  </si>
  <si>
    <t>Sans Serif, Humanist, Technology, Curves, Magazine, Book, Neo-humanist, Branding, Logo, Advertising, Alternates</t>
  </si>
  <si>
    <t>Juana Sans</t>
  </si>
  <si>
    <t>Latinotype</t>
  </si>
  <si>
    <t>Latinotype Team</t>
  </si>
  <si>
    <t>imagens\Juana_Sans.png</t>
  </si>
  <si>
    <t>https://www.myfonts.com/pt/collections/juana-sans-font-latinotype</t>
  </si>
  <si>
    <t>Editorial, Elegance, Contrast, System, Serif, Display, Text, Modern, Stylish, Versatile, Magazine, Branding, Books, Titles, Legible, Refined, Headline, Publishing, Contemporary, Identity</t>
  </si>
  <si>
    <t>Readon Esport</t>
  </si>
  <si>
    <t>imagens\Readon_Esport.png</t>
  </si>
  <si>
    <t>https://www.myfonts.com/pt/collections/readon-esport-font-multype-studio</t>
  </si>
  <si>
    <t>Racing Font, Sport Font, Speed Typeface, Bold Display Font, Fast Logo Font, Motorsport Font, Car Racing Font, Dynamic Racing Font, Aggressive Font, Modern Racing Font, Performance Typeface, Strong Display Font, Futuristic Sport Font, Automotive Font, Esport Logo Font, Adrenaline Font, Drag Racing Font, Fast Motion Font, Energy Display Font, Modern Sans Serif Font</t>
  </si>
  <si>
    <t>Ayr Rooted</t>
  </si>
  <si>
    <t>Aiyari</t>
  </si>
  <si>
    <t>Ricky Rinaldi</t>
  </si>
  <si>
    <t>imagens\Ayr_Rooted.png</t>
  </si>
  <si>
    <t>https://www.myfonts.com/pt/collections/ayr-rooted-font-aiyari</t>
  </si>
  <si>
    <t>Aiyari, Display, Display Sans, Vintage, Retro, Comic, Distressed, Rough, Grungy, Poster, Horror, Adventure, Sci-Fi, Nineties, 80s, Branding, Packaging, Game Title, Logotype, Nostalgia</t>
  </si>
  <si>
    <t>Morista Expanded</t>
  </si>
  <si>
    <t>imagens\Morista_Expanded.png</t>
  </si>
  <si>
    <t>https://www.myfonts.com/pt/collections/morista-expanded-font-logic-type</t>
  </si>
  <si>
    <t>Font, Sans, Serif, Elegant, Vintage, Best Seller, Hot New Fonts, Sans Serif</t>
  </si>
  <si>
    <t>GW Scheda</t>
  </si>
  <si>
    <t>imagens\GW_Scheda.png</t>
  </si>
  <si>
    <t>https://www.myfonts.com/pt/collections/gw-scheda-font-goodwheel-studio</t>
  </si>
  <si>
    <t>Typeface, Display Typeface, Bold Typeface, Art Deco, Scheda, Goodwheel Studio, Branding, Typography, Poster, Graphics, Poster Font, Display Font, Sans Serrif</t>
  </si>
  <si>
    <t>TF Monobreak</t>
  </si>
  <si>
    <t>Teenage Foundry</t>
  </si>
  <si>
    <t>imagens\TF_Monobreak.png</t>
  </si>
  <si>
    <t>https://www.myfonts.com/pt/collections/tf-monobreak-font-teenage-foundry</t>
  </si>
  <si>
    <t>Monospace, Geometric, Modern, Clean, Precision, Minimal, Futuristic, Digital, Professional, Tech, Display, Branding, Editorial, Interface, Contemporary, Elegant, Technical, Minimalist, Typography, Coding</t>
  </si>
  <si>
    <t>Volkgen Migario</t>
  </si>
  <si>
    <t>imagens\Volkgen_Migario.png</t>
  </si>
  <si>
    <t>https://www.myfonts.com/pt/collections/volkgen-migario-font-timelesstype-studio</t>
  </si>
  <si>
    <t>Bold Serif, Display, Powerful, High-Impact, Vintage Flair, Substantial Weight, Striking, Luxury Branding, Editorial Design, High-Fashion, Logos, Titles, Visual Identity, Editorial, Branding, Logo, Poster, Decorative, Expressive, Groovy</t>
  </si>
  <si>
    <t>Fuzamic</t>
  </si>
  <si>
    <t>Salamahtype</t>
  </si>
  <si>
    <t>Aswangga Sadike</t>
  </si>
  <si>
    <t>imagens\Fuzamic.png</t>
  </si>
  <si>
    <t>https://www.myfonts.com/pt/collections/fuzamic-font-salamahtype</t>
  </si>
  <si>
    <t>Comic, Bold, Fancy, Display, Logo, Urban, Creative, Oblique, Family, Sans Serif, Unique, Poster, Typography, Chunky, Packaging, Playful, Modern</t>
  </si>
  <si>
    <t>Chill Whisper</t>
  </si>
  <si>
    <t>imagens\Chill_Whisper.png</t>
  </si>
  <si>
    <t>https://www.myfonts.com/pt/collections/chill-whisper-font-subectype</t>
  </si>
  <si>
    <t>Cursive Font, Script Font, Fun Font, Friendly Font, Simple Script, Bold Script, Child Font, Kids Font, Baby Font, School Font, Book Font</t>
  </si>
  <si>
    <t>Big Boss Smile</t>
  </si>
  <si>
    <t>imagens\Big_Boss_Smile.png</t>
  </si>
  <si>
    <t>https://www.myfonts.com/pt/collections/big-boss-smile-font-mvmet</t>
  </si>
  <si>
    <t>Smile, Book Fonts, Cute Fonts, Clothing Fonts, Display Fonts, Kids Fonts, Logo Fonts, Playful Fonts, Quirky Fonts, Whimsical, Sweet, Emoji, Comic, Cartoon, Kids Book, Baby Fonts, T-shirt, Bold Fonts, Happy, Friendly</t>
  </si>
  <si>
    <t>MC Poow Geudy</t>
  </si>
  <si>
    <t>imagens\MC_Poow_Geudy.png</t>
  </si>
  <si>
    <t>https://www.myfonts.com/pt/collections/mc-poow-geudy-font-maulana-creative</t>
  </si>
  <si>
    <t>Bubble Font, Heavy Font, Cartoon Style, Display Typeface, Rounded Typeface, Bold Branding, Fun Design, Playful Lettering, Groovy Retro, Unique Font, Cute Typography, Modern Display, Energetic Font, Sweet Font, Kids Font, Food Packaging, Comic Book, Social Media, Apparel Design, Attention Grabbing</t>
  </si>
  <si>
    <t>IC Mattelir</t>
  </si>
  <si>
    <t>Ironbird Creative</t>
  </si>
  <si>
    <t>imagens\IC_Mattelir.png</t>
  </si>
  <si>
    <t>https://www.myfonts.com/pt/collections/ic-mattelir-font-ironbird-creative</t>
  </si>
  <si>
    <t>Bold, Retro, Vintage Font, Display Font, Playful, Groovy, Funky, Creative Font, Quirky Display Font, Bold Display Type, Retro Display Font, Modern, Unique Font, Logo Font, Headline Font, Fun Logo Font, Stylish Decorative Font, Eye-catching, Versatile Display Type, Unique Branding Font</t>
  </si>
  <si>
    <t>Kelaba Sans</t>
  </si>
  <si>
    <t>imagens\Kelaba_Sans.png</t>
  </si>
  <si>
    <t>https://www.myfonts.com/pt/collections/kelaba-sans-font-differentialtype</t>
  </si>
  <si>
    <t>Strong, Powerful, Modern, Versatile Sans, Family Sans Serif, Contemporary, Industrial, Logo, Branding, Sport, Display, Confident, Authoritative, Professional Font, Legible Body Text, Corporate Font, Striking, Game, Bold Sans Serif, Balance</t>
  </si>
  <si>
    <t>Grotesk Alpha</t>
  </si>
  <si>
    <t>MACIOTYPE</t>
  </si>
  <si>
    <t>Maciej Grabowski</t>
  </si>
  <si>
    <t>imagens\Grotesk_Alpha.png</t>
  </si>
  <si>
    <t>https://www.myfonts.com/pt/collections/grotesk-alpha-font-maciotype</t>
  </si>
  <si>
    <t>Grotesk Alpha, Sans Serif, Geometric Font, Minimalist Typography, Modern Grotesque, Versatile Sans, Czcionki Z Polskimi Znakami, Polish Typography, Multilingual Font, European Design, Print and Digital Font, Display and Text Font, Diamond Font, Monolinear, Branding Font, Open Type, Low X-height, Elegant, Professional Font Family, Modernist</t>
  </si>
  <si>
    <t>Enjoy Autumn</t>
  </si>
  <si>
    <t>imagens\Enjoy_Autumn.png</t>
  </si>
  <si>
    <t>https://www.myfonts.com/pt/collections/enjoy-autumn-font-selvia-design</t>
  </si>
  <si>
    <t>Display, Playful, Cute, Autumn, Christmas, Halloween, Winter, Holiday, Vacation</t>
  </si>
  <si>
    <t>Mayke</t>
  </si>
  <si>
    <t>imagens\Mayke.png</t>
  </si>
  <si>
    <t>https://www.myfonts.com/pt/collections/mayke-font-typebae</t>
  </si>
  <si>
    <t>Vintage, Bold, Script, Retro, Fun, Playful, Layered, Modern, Logo, Sign, Branding, Corporate, Display, Stylish, Brush, Bold Script, Fun Script, Paint Sign</t>
  </si>
  <si>
    <t>Hover Ridley</t>
  </si>
  <si>
    <t>imagens\Hover_Ridley.png</t>
  </si>
  <si>
    <t>https://www.myfonts.com/pt/collections/hover-ridley-font-letterhend</t>
  </si>
  <si>
    <t>Font Duo, Script, Sans, Retro, Vintage, Food Truck, Classic, Americana</t>
  </si>
  <si>
    <t>Therunes</t>
  </si>
  <si>
    <t>imagens\Therunes.png</t>
  </si>
  <si>
    <t>https://www.myfonts.com/pt/collections/therunes-font-ragamkata</t>
  </si>
  <si>
    <t>Bold, Display, Retro, Typeface, Playful, Modern, Geometric, Square, Headline, Cartoon, Kisd, Comic, Branding, Rounded, Stylish, Fun, Funky, Strong, Quircky, Kid</t>
  </si>
  <si>
    <t>Good News</t>
  </si>
  <si>
    <t>XALT Typography</t>
  </si>
  <si>
    <t>Asa Childress</t>
  </si>
  <si>
    <t>imagens\Good_News.png</t>
  </si>
  <si>
    <t>https://www.myfonts.com/pt/collections/good-news-font-xalt-typography</t>
  </si>
  <si>
    <t>Big Display Font, Big Bold Font, Rounded Edge Font, Friendly Bold, Cool Display, Bold Display Font, Fat Display Font, Modern Display Font, Modern Bold Font, Rough Display Font, Epic Bold Font, Cool Bold Font, Epic Font, Fun Bold Font, Friendly Fun Font, T-shirt Design Font, Bold Modern Font, Logo Font, Poster Font, Creative Display Font</t>
  </si>
  <si>
    <t>View Black</t>
  </si>
  <si>
    <t>imagens\View_Black.png</t>
  </si>
  <si>
    <t>https://www.myfonts.com/pt/collections/view-black-font-defharo</t>
  </si>
  <si>
    <t>Display, Futuristic, Oblique, Slanted, Roman, Ultra Wide, Expanded, Black, Sans Serif, Logos, Media, Editorial, Posters, Bitcoin, Alternates, Headtitles, Packaging, Latin Extended-A, Currencies</t>
  </si>
  <si>
    <t>De Mind</t>
  </si>
  <si>
    <t>imagens\De_Mind.png</t>
  </si>
  <si>
    <t>https://www.myfonts.com/pt/collections/de-mind-font-multype-studio</t>
  </si>
  <si>
    <t>Elegant Script Font, Handwritten Font, Calligraphy Font, Feminine Font, Cursive Logo Font, Modern Calligraphy, Wedding Invitation Font, Stylish Handwriting, Romantic Script, Signature Font, Branding Typeface, Elegant Lettering, Smooth Cursive, Personal Handwriting Font, Chic Design Font, Modern Feminine Typography, Creative Calligraphy, Flowing Script Font, Beauty Logo Font, Premium Handwriting Font</t>
  </si>
  <si>
    <t>Dreams Mount</t>
  </si>
  <si>
    <t>imagens\Dreams_Mount.png</t>
  </si>
  <si>
    <t>https://www.myfonts.com/pt/collections/dreams-mount-font-alit-design</t>
  </si>
  <si>
    <t>Victorian, Old, Art Deco, Old Deco, Ornamental, Ornate</t>
  </si>
  <si>
    <t>RK Avoleina</t>
  </si>
  <si>
    <t>imagens\RK_Avoleina.png</t>
  </si>
  <si>
    <t>https://www.myfonts.com/pt/collections/rk-avoleina-font-ragamkata</t>
  </si>
  <si>
    <t>Luxury, Elegant, Modern, Descorative, Italic, Script, Serif, Swash, Mdoern, Wedding, Branding, Ornamental, Swashes, Vintage, Display, Classic, Classy</t>
  </si>
  <si>
    <t>Romantic Christmas Monogram</t>
  </si>
  <si>
    <t>imagens\Romantic_Christmas_Monogram.png</t>
  </si>
  <si>
    <t>https://www.myfonts.com/pt/collections/romantic-christmas-monogram-font-yoga-letter</t>
  </si>
  <si>
    <t>Christmas, Monogram, Beautiful, Invitations, Winter, Vacation, Print, Branding, Sticker, Handwritten, Fall, Autumn, Halloween</t>
  </si>
  <si>
    <t>Zero Neue</t>
  </si>
  <si>
    <t>Designova</t>
  </si>
  <si>
    <t>Jean Johnson</t>
  </si>
  <si>
    <t>Oct 27, 2025</t>
  </si>
  <si>
    <t>imagens\Zero_Neue.png</t>
  </si>
  <si>
    <t>https://www.myfonts.com/pt/collections/zero-neue-font-fontastica</t>
  </si>
  <si>
    <t>Minimal, Display Font, Minimal Font, Clean Font, Bold Font, Headline Font, Headline, Bestseller, Branding, Sans Serif, Elegant Font, Professional Font, Graphic Design, Logo Design, Web Font, Stylish Font</t>
  </si>
  <si>
    <t>Bonadia</t>
  </si>
  <si>
    <t>Cititype</t>
  </si>
  <si>
    <t>imagens\Bonadia.png</t>
  </si>
  <si>
    <t>https://www.myfonts.com/pt/collections/bonadia-font-cititype</t>
  </si>
  <si>
    <t>Bonadia, Script Font, Handwritten, Calligraphy, Elegant, Modern Script, Stylish, Chic, Feminine, Graceful, Flowing, Signature, Branding, Fashion, Natural, Classy, Beautiful, Smooth, Designer, Signature Style</t>
  </si>
  <si>
    <t>Plowell</t>
  </si>
  <si>
    <t>imagens\Plowell.png</t>
  </si>
  <si>
    <t>https://www.myfonts.com/pt/collections/plowell-font-hasnat-studio</t>
  </si>
  <si>
    <t>Sparkling Font, Luxury Serif, Fashion Typography, Refined Serif, Classy Font, Timeless Design, Glamorous Serif, Elegant Branding, Stylish Serif, Contemporary Serif, Decorative Serif, Sparkling Typeface, Artistic Serif, Professional Serif, Elegant Packaging, Fashion Branding, Modern Identity, Editorial Design, Creative Elegance, Luminous Serif</t>
  </si>
  <si>
    <t>Evonella</t>
  </si>
  <si>
    <t>Qiubare Studio</t>
  </si>
  <si>
    <t>Michael Everson</t>
  </si>
  <si>
    <t>imagens\Evonella.png</t>
  </si>
  <si>
    <t>https://www.myfonts.com/pt/collections/evonella-font-qiubare-studio</t>
  </si>
  <si>
    <t>Elegant Serif, Display Serif, Luxury Typography, Modern Serif, Fashion Font, Editorial Typeface, Magazine Font, Branding Font, Stylish Serif, Classic Display Font, Logo Typeface, Decorative Serif, High Contrast Font, Feminine Typeface, Timeless Serif, Premium Typography, Sophisticated Font, Elegant Branding</t>
  </si>
  <si>
    <t>The Jorway</t>
  </si>
  <si>
    <t>imagens\The_Jorway.png</t>
  </si>
  <si>
    <t>https://www.myfonts.com/pt/collections/the-jorway-font-jafar07</t>
  </si>
  <si>
    <t>Serif, Modern, Stylish, Classic, Refined, Decorative, Editorialk, Branding, Typography, Display, Magazine, Headline, Logo, Design, Minimal, Graceful, Classy, Timeless, Premium, Lettering</t>
  </si>
  <si>
    <t>Histerya</t>
  </si>
  <si>
    <t>imagens\Histerya.png</t>
  </si>
  <si>
    <t>https://www.myfonts.com/pt/collections/histerya-font-heinzel-std</t>
  </si>
  <si>
    <t>Script Font, Canva Font, Modern Font, Handwritten Font, Wedding Font, Cursive Font, Cricut Font, Handwriting Font, Branding Font, Font for Cricut, Procreate Font, Wedding Script Font, Fancy Font, Handwriting Cursive, Signature Font, Calligraphy Font, Digital Font, Font Download, Commercial Use</t>
  </si>
  <si>
    <t>Pinktoner</t>
  </si>
  <si>
    <t>imagens\Pinktoner.png</t>
  </si>
  <si>
    <t>https://www.myfonts.com/pt/collections/pinktoner-font-ikiikowrk</t>
  </si>
  <si>
    <t>Raw Handdrawn, Organic Font, Rough Artsy Font, Expressive Typeface, Youth Typography, Edgy Font, Hipster Font, Basquiat Inspired, Street Art Style, Dynamic Lettering, Handdrawn Font, Artsy Font, Creative Fonts, Display Font, Custom Typography, Font Design, Type Lovers, Type Design</t>
  </si>
  <si>
    <t>Florelie</t>
  </si>
  <si>
    <t>Krismagraph</t>
  </si>
  <si>
    <t>Ratna Krismawati</t>
  </si>
  <si>
    <t>imagens\Florelie.png</t>
  </si>
  <si>
    <t>https://www.myfonts.com/pt/collections/florelie-font-krismagraph</t>
  </si>
  <si>
    <t>Script, Calligraphy, Handwritten, Elegant, Modern, Cursive, Signature, Feminine, Wedding, Logotype, Handdrawn, Romantic, Stylish, Beauty, Timeless, Modern Script, Elegant Calligraphy, Handwritten Script, Natural Handwriting, Calligraphy Font</t>
  </si>
  <si>
    <t>MC The Mossmof</t>
  </si>
  <si>
    <t>imagens\MC_The_Mossmof.png</t>
  </si>
  <si>
    <t>https://www.myfonts.com/pt/collections/mc-the-mossmof-font-maulana-creative</t>
  </si>
  <si>
    <t>Monolinescript, Script, Handwritten, Calligraphy, Elegant, Cursive, Retro, Vintage, Branding, Logotype, Invitation, Wedding, Display, Decorative, Stylish, Smooth, Flowing, Font, Typeface, Maulanacreative</t>
  </si>
  <si>
    <t>Nouveau 21</t>
  </si>
  <si>
    <t>TYPECASSO</t>
  </si>
  <si>
    <t>Venny Setiawan</t>
  </si>
  <si>
    <t>imagens\Nouveau_21.png</t>
  </si>
  <si>
    <t>https://www.myfonts.com/pt/collections/nouveau-21-font-typecasso</t>
  </si>
  <si>
    <t>Modern, Display, Sans, Sansserif, Sans-serif, Art Nouveau, Art Deco, Exclusive, Beauty, Fashion, Unique, Elegance, Wedding, Contemporary, Minimalist, Sophisticated, Luxury, Packaging, Editorial, Exhibition</t>
  </si>
  <si>
    <t>Field Mono</t>
  </si>
  <si>
    <t>Firstype Studio</t>
  </si>
  <si>
    <t>Adrian Syauqi</t>
  </si>
  <si>
    <t>imagens\Field_Mono.png</t>
  </si>
  <si>
    <t>https://www.myfonts.com/pt/collections/field-mono-font-firstype-studio</t>
  </si>
  <si>
    <t>Modern Serif Font, Elegant Serif Typeface, Luxury Font for Branding, Stylish Display Font, Classic Editorial Typeface, High Contrast Serif, Timeless Typography, Vintage Modern Serif, Elegant Logo Font, Professional Branding Font, Luxury Packaging Typeface, Fashion Magazine Font, Minimal Elegant Font, Creative Serif Font, Premium Type Design, Sophisticated Serif Typeface, Best Serif Font for Designers, Modern Calligraphic Serif, Elegant Website Typography, Aesthetic Serif Font</t>
  </si>
  <si>
    <t>Forgotten Shores</t>
  </si>
  <si>
    <t>imagens\Forgotten_Shores.png</t>
  </si>
  <si>
    <t>https://www.myfonts.com/pt/collections/forgotten-shores-font-tini-fitriani</t>
  </si>
  <si>
    <t>Script, Handwritting, Retro, Vintage, Nostalgic, Vintage Script, Hippie, Classic, Summer, Wedding, Beauty Font, Beautiful Font, Magazine, Minimalist, Whimsical, Romantic, Cursive, Lettering, Hand Lettered Font, Swashes</t>
  </si>
  <si>
    <t>Flowtastic Expedition</t>
  </si>
  <si>
    <t>imagens\Flowtastic_Expedition.png</t>
  </si>
  <si>
    <t>https://www.myfonts.com/pt/collections/flowtastic-expedition-font-naufal-paramata</t>
  </si>
  <si>
    <t>Handwritten, Script, Modern, Fancy, Font Duo, Sans, Comics, Books, Cover, Branding, Magzine, Brush Font, Modern Script, English, Vintage, Retro, Bold, Unique, Photo, Graphic</t>
  </si>
  <si>
    <t>Vista Chopers</t>
  </si>
  <si>
    <t>imagens\Vista_Chopers.png</t>
  </si>
  <si>
    <t>https://www.myfonts.com/pt/collections/vista-chopers-font-krismagraph</t>
  </si>
  <si>
    <t>Script, Calligraphy, Handwritten, Elegant, Modern, Cursive, Signature, Feminine, Wedding, Logotype, Handdrawn, Romantic, Stylish, Beauty, Branding, Modern Script, Elegant Calligraphy, Handwritten Script, Natural Handwriting, Calligraphy Font</t>
  </si>
  <si>
    <t>Badger Glance</t>
  </si>
  <si>
    <t>imagens\Badger_Glance.png</t>
  </si>
  <si>
    <t>https://www.myfonts.com/pt/collections/badger-glance-font-heinzel-std</t>
  </si>
  <si>
    <t>Serif Font, Typeface Font, Display Font, Modern Font, Elegant Font, Headline Font, Cricut Font, Canva Font, Procreate Font, Modern Serif Font, Magazine Font, Branding Font, Digital Font, Classy Font, Modern Logo Fonts, Minimalist Fonts, Aesthetic Fonts, Commercial Use Fonts, Canva Fonts, Classy Fonts</t>
  </si>
  <si>
    <t>Reforia Signature</t>
  </si>
  <si>
    <t>Pointlab</t>
  </si>
  <si>
    <t>Ferdiansyah</t>
  </si>
  <si>
    <t>imagens\Reforia_Signature.png</t>
  </si>
  <si>
    <t>https://www.myfonts.com/pt/collections/reforia-signature-font-pointlab</t>
  </si>
  <si>
    <t>Text, Letter, Signature, Vector, Font, Lettering, Graphic, Design, Typography, Calligraphy, Alphabet</t>
  </si>
  <si>
    <t>Cowboyscript</t>
  </si>
  <si>
    <t>Meta Creative</t>
  </si>
  <si>
    <t>imagens\Cowboyscript.png</t>
  </si>
  <si>
    <t>https://www.myfonts.com/pt/collections/cowboyscript-font-meta-creative</t>
  </si>
  <si>
    <t>Modern, Sunflower, Elegant, Invitation, Ligature, Calligraphy</t>
  </si>
  <si>
    <t>Topline</t>
  </si>
  <si>
    <t>imagens\Topline.png</t>
  </si>
  <si>
    <t>https://www.myfonts.com/pt/collections/topline-font-arendxstudio</t>
  </si>
  <si>
    <t>Modern, Elegant, Script, Cursive, Design, Branding, Logo, Creative, Stylish, Signature, Smooth, Calligraphy, Typography, Classy</t>
  </si>
  <si>
    <t>PN Pig Sty</t>
  </si>
  <si>
    <t>imagens\PN_Pig_Sty.png</t>
  </si>
  <si>
    <t>https://www.myfonts.com/pt/collections/pn-pig-sty-font-lettering-delights</t>
  </si>
  <si>
    <t>Halloween, Spooky, Scary, Creepy, Haunted, Murder, Blood, Bloody, Bleed, Pig, Dirty, Grungy, Grunge, Textured, Texture</t>
  </si>
  <si>
    <t>Exilium</t>
  </si>
  <si>
    <t>imagens\Exilium.png</t>
  </si>
  <si>
    <t>https://www.myfonts.com/pt/collections/exilium-font-denustudio</t>
  </si>
  <si>
    <t>Metal, Blackletter, Black Metal, Death Metal, Thorns, Satanic, Heavy Metal, Music, Hardcore, Gothic, Music Metal, Merchandise, Horror Font, Underground Font, Punk Font, Rock, Devil, Dark, Ghost, T-Shirt</t>
  </si>
  <si>
    <t>Hagevra</t>
  </si>
  <si>
    <t>Rvandtype</t>
  </si>
  <si>
    <t>Randi Irvan</t>
  </si>
  <si>
    <t>imagens\Hagevra.png</t>
  </si>
  <si>
    <t>https://www.myfonts.com/pt/collections/hagevra-font-rvandtype</t>
  </si>
  <si>
    <t>Blackletter, Gothic, Vintage, Medieval, Oldenglish, Tattoo, Metalfont, Punkfont, Dark, Displayfont, Decorative, Typeface, Logo, Branding, Posterfont, Retro, Calligraphy, Typography, Horror, Edgy</t>
  </si>
  <si>
    <t>Majestic Letters</t>
  </si>
  <si>
    <t>Abbasy Studio</t>
  </si>
  <si>
    <t>Angga Kristiandri</t>
  </si>
  <si>
    <t>imagens\Majestic_Letters.png</t>
  </si>
  <si>
    <t>https://www.myfonts.com/pt/collections/majestic-letters-font-abbasy-studio</t>
  </si>
  <si>
    <t>Elegant Serif, Vintage Serif, Display Serif, Luxury Font, Classic Typeface, Timeless Font, Ornamental Serif Font, Sophisticated Font, Feminine Serif, Romantic Font, Modern Serif, Beauty Font, Boutique Font, Stylish Serif, Boutique Logo Font, Branding Font, Logo Font, Wedding Font, Packaging Font, Editorial Font</t>
  </si>
  <si>
    <t>Gued</t>
  </si>
  <si>
    <t>imagens\Gued.png</t>
  </si>
  <si>
    <t>https://www.myfonts.com/pt/collections/gued-font-sipanji21</t>
  </si>
  <si>
    <t>Modern Font, Minimalist Font, Logo Font, Geometric Font, Clean Font, Elegant Font, Sans Font, Futuristic Font, Simple Font, Brand Font, Display Font, Stylish Font, Creative Font, Tech Font, Fashion Font, Architecture Font, Smooth Font, Identity Font, Premium Font, Professional Font</t>
  </si>
  <si>
    <t>Asmiranda Handwritting</t>
  </si>
  <si>
    <t>imagens\Asmiranda_Handwritting.png</t>
  </si>
  <si>
    <t>https://www.myfonts.com/pt/collections/asmiranda-handwritting-font-patlot-digital-studio</t>
  </si>
  <si>
    <t>Handwriting, Asmiranda Handwriting, Minimalist, Notes, Book Font, San Serif, Cute Font, Kids, Baby, Child, Children, Back To School, Birthday, Handwriten, Playful, Monoline</t>
  </si>
  <si>
    <t>Timeround</t>
  </si>
  <si>
    <t>imagens\Timeround.png</t>
  </si>
  <si>
    <t>https://www.myfonts.com/pt/collections/timeround-font-vyantype-studio</t>
  </si>
  <si>
    <t>Vintage, Typewriter, Classic, Classic Font, Aesthetics, Playful, Timeless Font, Vintage Font, New Font, Serif Font, Branding, Logo, Branding Font, Western Font, American Style, Vintage Typewriter, Vintage Design, Creative Font, Aesthetic Fonts, Timeless</t>
  </si>
  <si>
    <t>MC Lirax Anum</t>
  </si>
  <si>
    <t>imagens\MC_Lirax_Anum.png</t>
  </si>
  <si>
    <t>https://www.myfonts.com/pt/collections/mc-lirax-anum-font-maulana-creative</t>
  </si>
  <si>
    <t>Horror, Halloween, Brush, Display, Scary, Grunge, Distressed, Metal, Dark, Bold, Textured, Punk, Gothic, Vintage, Retro, Handpainted, Unique, Poster, Spooky, Creepy</t>
  </si>
  <si>
    <t>Slumber</t>
  </si>
  <si>
    <t>imagens\Slumber.png</t>
  </si>
  <si>
    <t>https://www.myfonts.com/pt/collections/slumber-font-inviline</t>
  </si>
  <si>
    <t>Handwritten, Script, Calligraphy, Brush, Font, Typeface, Smooth, Casual, Slumber, Cursive, Signature, Feminine, Aesthetic, Branding Font, Wedding Font, Logo Design, Brush Script, Handmade Font, Modern Script, Lettering</t>
  </si>
  <si>
    <t>Brastigma</t>
  </si>
  <si>
    <t>imagens\Brastigma.png</t>
  </si>
  <si>
    <t>https://www.myfonts.com/pt/collections/brastigma-font-basnistudio</t>
  </si>
  <si>
    <t>Handwritten, Modern, Signature, Script, Lettering, Calligraphy, Luxury, Sign Font</t>
  </si>
  <si>
    <t>Breakfast In Venice</t>
  </si>
  <si>
    <t>TD fonts</t>
  </si>
  <si>
    <t>imagens\Breakfast_In_Venice.png</t>
  </si>
  <si>
    <t>https://www.myfonts.com/pt/collections/breakfast-in-venice-font-td-fonts</t>
  </si>
  <si>
    <t>Bold Script, Handwritten Script Font, Handwriting Script, Signature Font, Modern Calligraphy, Wedding Script, Whimsical Script Font, Cursive Font, Imperfect Font for Logo, Mediterranean Vibe Font, Font for Poster, Script Font for Invitation, Brush Font Script, Casual Font</t>
  </si>
  <si>
    <t>Gilosta Surfing Script</t>
  </si>
  <si>
    <t>imagens\Gilosta_Surfing_Script.png</t>
  </si>
  <si>
    <t>https://www.myfonts.com/pt/collections/gilosta-surfing-script-font-naturalink</t>
  </si>
  <si>
    <t>Sans, Display, Gilosta, Script, Duo, Best, Selling, Hanmade, Trio, Wedding, Cutting, Branding, Popular, Creative, Apps, Media, Sosial Media</t>
  </si>
  <si>
    <t>Merica Grotesk</t>
  </si>
  <si>
    <t>imagens\Merica_Grotesk.png</t>
  </si>
  <si>
    <t>https://www.myfonts.com/pt/collections/merica-grotesk-font-mans-greback</t>
  </si>
  <si>
    <t>Sansserif, Sans, Fat, Bold, Modern, Regular, Cool, Skater, Many Weights, Multiweight, Expressive, Headline</t>
  </si>
  <si>
    <t>Romeny</t>
  </si>
  <si>
    <t>imagens\Romeny.png</t>
  </si>
  <si>
    <t>https://www.myfonts.com/pt/collections/romeny-font-nathatype</t>
  </si>
  <si>
    <t>Vintage, Logofont, Logo, Vintagefont, Vintagefonts, Classic, Rustic, Stylish, Display, Brand, Branding, Restaurant, Lettering, Handwritten, Retro</t>
  </si>
  <si>
    <t>Notha Fokal</t>
  </si>
  <si>
    <t>imagens\Notha_Fokal.png</t>
  </si>
  <si>
    <t>https://www.myfonts.com/pt/collections/notha-fokal-font-twinletter</t>
  </si>
  <si>
    <t>Funky, Graffiti, Band, Bubbly, Unique, Emo, Bold, Psychedelic, Rebel, Chunky, Skate, Brutal, Rock, Hardcore, Trippy</t>
  </si>
  <si>
    <t>Kaleo</t>
  </si>
  <si>
    <t>imagens\Kaleo.png</t>
  </si>
  <si>
    <t>https://www.myfonts.com/pt/collections/kaleo-font-inviline</t>
  </si>
  <si>
    <t>Psychedelic, Groovy, Retro, Display, Vintage, Bold, Trippy, Warped, Playful, Colorful, Funky, Lettering, 70s Font, Retro Vibe, Groovy Font, Typeface, Artistic Font, Album Cover, Poster Design, Retro Branding</t>
  </si>
  <si>
    <t>Braxio</t>
  </si>
  <si>
    <t>suhadidesign</t>
  </si>
  <si>
    <t>ahmad suhadi</t>
  </si>
  <si>
    <t>imagens\Braxio.png</t>
  </si>
  <si>
    <t>https://www.myfonts.com/pt/collections/braxio-font-suhadidesign</t>
  </si>
  <si>
    <t>Display Font, Sans Serif, Modern Font, Letterpress, Sans Serif Font, Typeface, Condensed Font, Condensed Typeface, Poster, Branding, Poster Design, Woodcut, Display, Condensed, Bold, Vintage, Logo, Cover, Hipster, Sports</t>
  </si>
  <si>
    <t>Egiane</t>
  </si>
  <si>
    <t>imagens\Egiane.png</t>
  </si>
  <si>
    <t>https://www.myfonts.com/pt/collections/egiane-font-pandeka-studio</t>
  </si>
  <si>
    <t>Modern Font, Display Typeface, Futuristic Font, Tech Font, Geometric Font, Clean Typeface, Corporate Branding, Digital Design, Innovation Font, Geometric Sans, Modern Display, Headline Font, Technology Font, Uiux Font, Minimal Font, Sci-fi Font, Contemporary Font, Professional Font, Startup Font, Clean Branding Font</t>
  </si>
  <si>
    <t>Cute Sunset Handwriting</t>
  </si>
  <si>
    <t>imagens\Cute_Sunset_Handwriting.png</t>
  </si>
  <si>
    <t>https://www.myfonts.com/pt/collections/cute-sunset-handwriting-font-mvmet</t>
  </si>
  <si>
    <t>Bakery Fonts, Children Fonts, Cute Fonts, Display Fonts, Handwritten Fonts, Playful Fonts, Candy Fonts, Whimsical, Handwriting, Playful, Childish, Storybook, Kids, Comic, Comic Fonts, Casual, Advertisement, Packaging, Product Design, Friendly</t>
  </si>
  <si>
    <t>Rittual</t>
  </si>
  <si>
    <t>imagens\Rittual.png</t>
  </si>
  <si>
    <t>https://www.myfonts.com/pt/collections/rittual-font-arendxstudio</t>
  </si>
  <si>
    <t>Blackletter, Medieval, Blackletter Font, Display Font</t>
  </si>
  <si>
    <t>Clariza Sparks</t>
  </si>
  <si>
    <t>imagens\Clariza_Sparks.png</t>
  </si>
  <si>
    <t>https://www.myfonts.com/pt/collections/clariza-sparks-font-typebae</t>
  </si>
  <si>
    <t>Fun, Playful, Brutalism, Display, Layered, Outline, Shadow, Script, Branding, Retro, Cute, Cartoon, Vintage, Logo, Packaging</t>
  </si>
  <si>
    <t>Blank Canvas</t>
  </si>
  <si>
    <t>imagens\Blank_Canvas.png</t>
  </si>
  <si>
    <t>https://www.myfonts.com/pt/collections/blank-canvas-font-mevstory-studio</t>
  </si>
  <si>
    <t>Handrawn, Font</t>
  </si>
  <si>
    <t>Hominem</t>
  </si>
  <si>
    <t>imagens\Hominem.png</t>
  </si>
  <si>
    <t>https://www.myfonts.com/pt/collections/hominem-font-ikiikowrk</t>
  </si>
  <si>
    <t>Brush Font, Brush Stroke, Paintbrush, Painted Font, Paint Strokes, Street Font, Graffiti Fonts, Graffiti Brush, Hand Drawn Font, Handwriting Font, Rough Font, Grunge Font, Rebel, Textured Font, Distressed Font, Display Font, Paint Brush Strokes, Stylish Font, Scratch, Noise</t>
  </si>
  <si>
    <t>Ambrilo</t>
  </si>
  <si>
    <t>imagens\Ambrilo.png</t>
  </si>
  <si>
    <t>https://www.myfonts.com/pt/collections/ambrilo-font-ikiikowrk</t>
  </si>
  <si>
    <t>Candy, Candy Font, Cute Script, Retro Script, Cute Font, Cute, Cutie, Script Font, Script, Script Handwriting, Handwriting Font, Handlettered, Fun Font, Display Font, Display Type, Kids Font, Kids Fonts, Header Font, Headline Font</t>
  </si>
  <si>
    <t>Flink Slab</t>
  </si>
  <si>
    <t>Identity Letters</t>
  </si>
  <si>
    <t>Moritz Kleinsorge</t>
  </si>
  <si>
    <t>imagens\Flink_Slab.png</t>
  </si>
  <si>
    <t>https://www.myfonts.com/pt/collections/flink-slab-font-moritz-kleinsorge</t>
  </si>
  <si>
    <t>Flink Neue, Flink, Geometric, Slab Serif, Modern, Contemporary, Clean, Minimal, Bold, Stylistic Sets, Unbracketed Slab Serif, Unbracketed, Geometric Superfamily, Energetic, Futurism, Industrial</t>
  </si>
  <si>
    <t>Mediom Sans</t>
  </si>
  <si>
    <t>imagens\Mediom_Sans.png</t>
  </si>
  <si>
    <t>https://www.myfonts.com/pt/collections/mediom-sans-font-multype-studio</t>
  </si>
  <si>
    <t>Modern Sans Font, Bold Sans Serif, Sport Display Font, Racing Font, Strong Geometric Typeface, Futuristic Sans Font, Speed Logo Font, Dynamic Display Font, Performance Typeface, All Caps Sans Font, Modern Bold Typography, Motorsport Branding Font, Esports Logo Typeface, Aggressive Sans Serif Font, Impactful Headline Font, Tech-inspired Display Font, Athletic Typography, Clean Bold Font, Professional Sans Typeface, Energy Font</t>
  </si>
  <si>
    <t>Enzo</t>
  </si>
  <si>
    <t>imagens\Enzo.png</t>
  </si>
  <si>
    <t>https://www.myfonts.com/pt/collections/enzo-font-inviline</t>
  </si>
  <si>
    <t>Sans, Display, Modern, Bold, Futuristic, Modular, Geometric, Font, Typeface, Logo Font, Headline Font, Sans Serif, Branding, Editorial, Poster, Typography, Creative, Ligature Font, Tech Font, Extended</t>
  </si>
  <si>
    <t>Energy Sport</t>
  </si>
  <si>
    <t>imagens\Energy_Sport.png</t>
  </si>
  <si>
    <t>https://www.myfonts.com/pt/collections/energy-sport-font-nirmana-visual</t>
  </si>
  <si>
    <t>Sportfont, College, Baseball, Baseballfont, Collegiate, Sport, Varsity, Athletic, Team, Bold, Classic, Game, Championship, Dynamic, Retro, Energetic</t>
  </si>
  <si>
    <t>Lacore</t>
  </si>
  <si>
    <t>Jos Gandos</t>
  </si>
  <si>
    <t>imagens\Lacore.png</t>
  </si>
  <si>
    <t>https://www.myfonts.com/pt/collections/lacore-font-jos-gandos</t>
  </si>
  <si>
    <t>Art Deco Font, Modern Display Typeface, Geometric Font, Elegant Sans Serif, Luxury Font, Headline Font, Branding Typeface, Deco Lettering, Vintage Modern Font, Logo Font, Poster Font, Decorative Typeface, Minimal Font, Stylish Typography, Creative Font, Clean Display Font, Editorial Font, Fashion Typeface, Bold Sans Font, Retro Inspired Font</t>
  </si>
  <si>
    <t>Nobulina</t>
  </si>
  <si>
    <t>imagens\Nobulina.png</t>
  </si>
  <si>
    <t>https://www.myfonts.com/pt/collections/nobulina-font-azzam-ridhamalik</t>
  </si>
  <si>
    <t>Bold, Modern, Condensed, Narrow, Tall, Compressed, Script, Inktrap, Combination, Experimental, Brutalism, Brutalist, Industrial, Architect, Editorial, Cursive, Quirky, Font Duo, Headline, Header</t>
  </si>
  <si>
    <t>Kuillo Chunk</t>
  </si>
  <si>
    <t>imagens\Kuillo_Chunk.png</t>
  </si>
  <si>
    <t>https://www.myfonts.com/pt/collections/kuillo-chunk-font-zeenesia-studio</t>
  </si>
  <si>
    <t>Serif Font, Branding Font, Logo Font, Social Media Font, Logotype, Typography, Advertising Font, Web Font, Bold Font, Chunky Font, Display Font, Decorative Font, Magazine Font, Book Font, Fashion Font, Business Font, Product Font, Packaging Font, Apparel Font, Elegant Font</t>
  </si>
  <si>
    <t>Perfect Barista</t>
  </si>
  <si>
    <t>imagens\Perfect_Barista.png</t>
  </si>
  <si>
    <t>https://www.myfonts.com/pt/collections/perfect-barista-font-zeenesia-studio</t>
  </si>
  <si>
    <t>Sans Serif Font, Sans Font, Display Font, Decorative Font, Modern Font, Casual Font, Packaging Font, Logo Font, Logo Type, Typography Font, Social Media Font, Web Font, Pacakging Font, Experimental Font, Unique Font, Boo Cover, Fashion, Coffe, Barista, Cafe</t>
  </si>
  <si>
    <t>GC Ralinka</t>
  </si>
  <si>
    <t>imagens\GC_Ralinka.png</t>
  </si>
  <si>
    <t>https://www.myfonts.com/pt/collections/gc-ralinka-font-onyx-studio</t>
  </si>
  <si>
    <t>Sans Serif, Modern, Helvetica, Magazine, Clean Sans, Modern Sans, Display, Web, Corporate, Packaging, Minimal Font, Timeless Font, Startup, Editorial, Print Font, Brand Identity Font, Logo Font, Presentation Font, Logotype, Clean Modern Font</t>
  </si>
  <si>
    <t>Belano Dampod</t>
  </si>
  <si>
    <t>imagens\Belano_Dampod.png</t>
  </si>
  <si>
    <t>https://www.myfonts.com/pt/collections/belano-dampod-font-bayuktx</t>
  </si>
  <si>
    <t>Typeface, Vintage, Font, Poster, Slab Serif, Classic, Fashioned, Label, Display, Urban, Business, Company, Western, Athletic, Baseball, College, University, Stamp, Authentic, Varsity</t>
  </si>
  <si>
    <t>Bisma Groovy</t>
  </si>
  <si>
    <t>imagens\Bisma_Groovy.png</t>
  </si>
  <si>
    <t>https://www.myfonts.com/pt/collections/bisma-groovy-font-patlot-digital-studio</t>
  </si>
  <si>
    <t>Groovy, Bisma Groovy, Cute Font, Retro, Vintage, Hippie, Fall, Summer, New Year, Bubble, Typography, Display Font, Playfull, Branding, Invitation, Funky, Groove, Classic-retro</t>
  </si>
  <si>
    <t>Big Bold Chunky</t>
  </si>
  <si>
    <t>imagens\Big_Bold_Chunky.png</t>
  </si>
  <si>
    <t>https://www.myfonts.com/pt/collections/big-bold-chunky-font-mvmet</t>
  </si>
  <si>
    <t>Web Fonts, Cute Fonts, Clothing Fonts, Display Fonts, Handwritten Fonts, Kids Fonts, Logo Fonts, Playful Fonts, Whimsical, Kids Book, Baby Fonts, T-shirt, Childrens Books, Cartoon, Comic, Packaging, Thick, Bold, Casual, Decorative</t>
  </si>
  <si>
    <t>Fox Pompi</t>
  </si>
  <si>
    <t>imagens\Fox_Pompi.png</t>
  </si>
  <si>
    <t>https://www.myfonts.com/pt/collections/fox-pompi-font-fox7</t>
  </si>
  <si>
    <t>Minimal Font, Bold Display Font, Retro Display Font, Vintage Modern Font, 3D Shadow Font, Layered Display Font, Modern Retro Typography, Stylish Retro Font, Classic Vibe Font, Poster Title Font, Branding Display Font, Creative Logo Font, Vintage Poster Font, Retro Logo Font, Canva Font, Retro Lettering Font, Minimal Retro Font, Font for T-shirt Design, Packaging Design Font, Social Media Font</t>
  </si>
  <si>
    <t>Meltia</t>
  </si>
  <si>
    <t>imagens\Meltia.png</t>
  </si>
  <si>
    <t>https://www.myfonts.com/pt/collections/meltia-font-jos-gandos</t>
  </si>
  <si>
    <t>Fun Font, Retro Display Typeface, Groovy Sans Serif, Vintage Font, Bold Logo Font, Playful Typeface, Bubbly Font, Cheerful Font, Funky Font, Retro Typography, Poster Font, Cartoon Style Font, Modern Retro Font, Creative Display Font, Cool Sans Serif, Bold Geometric Typeface, Expressive Typeface, Vintage Sans, 70s Font, Fun Display Font</t>
  </si>
  <si>
    <t>Dx Monstral</t>
  </si>
  <si>
    <t>Dirtyline Studio</t>
  </si>
  <si>
    <t>Hendra Maulia</t>
  </si>
  <si>
    <t>imagens\Dx_Monstral.png</t>
  </si>
  <si>
    <t>https://www.myfonts.com/pt/collections/dx-monstral-font-dirtyline-studio</t>
  </si>
  <si>
    <t>Bold Font, Bold Rounded Font, 70s Typeface, Vintage Sans Serif, Soft Bold Font, Groovy Typography, Dirtyline Studio Font, Bold Logo Font, Retro Modern Type, Poster Display Font, Blur Font Effect, Smooth Display Typeface, Logo Font, Branding, Poster, Logotype, Fnb Font, Standout</t>
  </si>
  <si>
    <t>Symet Rounded</t>
  </si>
  <si>
    <t>RainBomb Studio</t>
  </si>
  <si>
    <t>Glen Nyundu</t>
  </si>
  <si>
    <t>imagens\Symet_Rounded.png</t>
  </si>
  <si>
    <t>https://www.myfonts.com/pt/collections/symet-rounded-font-rainbomb-studio</t>
  </si>
  <si>
    <t>Rounded, Geometric, Modern, Bold, Black, Symet, Symetrical, Headline, Thick, Strong</t>
  </si>
  <si>
    <t>Drago Racing</t>
  </si>
  <si>
    <t>imagens\Drago_Racing.png</t>
  </si>
  <si>
    <t>https://www.myfonts.com/pt/collections/drago-racing-font-multype-studio</t>
  </si>
  <si>
    <t>Racing Font, Sport Font, Bold Display Typeface, Modern Racing Typography, Motorsport Font, Speed Typeface, Car Logo Font, Esports Font, Aggressive Display Font, Performance Typeface, Fast Racing Typography, Dynamic Font Style, Gaming Logo Font, Strong Sans Serif, Geometric Sport Font, Automotive Font, Adrenaline Font, Drag Racing Typeface, Extreme Sports Font, Modern Display Font</t>
  </si>
  <si>
    <t>Maino Script</t>
  </si>
  <si>
    <t>Adam Fathony</t>
  </si>
  <si>
    <t>Adam Fathoni Haris</t>
  </si>
  <si>
    <t>imagens\Maino_Script.png</t>
  </si>
  <si>
    <t>https://www.myfonts.com/pt/collections/maino-script-font-adam-fathony</t>
  </si>
  <si>
    <t>Soft, Fun, Script, Modern Script, Casual Script, Retro Script, Baseball Script, Smooth Script, Soft Rounded, Rounded, Playful, Playful Bold Script, Modern Bold</t>
  </si>
  <si>
    <t>Gosh Thing</t>
  </si>
  <si>
    <t>imagens\Gosh_Thing.png</t>
  </si>
  <si>
    <t>https://www.myfonts.com/pt/collections/gosh-thing-font-adam-fathony</t>
  </si>
  <si>
    <t>Chunky, Bold, Rounded, Fun, Retro, Hobo, Playful, Joy, Friendly, Kids, Soft, Outline, Display, Big, Headline</t>
  </si>
  <si>
    <t>Stellost</t>
  </si>
  <si>
    <t>Get Studio</t>
  </si>
  <si>
    <t>Hermansyah</t>
  </si>
  <si>
    <t>imagens\Stellost.png</t>
  </si>
  <si>
    <t>https://www.myfonts.com/pt/collections/stellost-font-get-studio</t>
  </si>
  <si>
    <t>Playful Font, Display Typeface, Fun Typeface, Bold Font, Rounded Font, Soft Font, Bubble Font, Cartoon Font, Retro Font, Cute Font, Friendly Typography, Groovy Font, Funky Display Font, Creative Font, Headline Font, Logo Font, Comic Style Font, Kids Font, Cheerful Font, Bubbly Typeface</t>
  </si>
  <si>
    <t>Shofly</t>
  </si>
  <si>
    <t>Muhammad Ridha Agusni</t>
  </si>
  <si>
    <t>Oct 24, 2025</t>
  </si>
  <si>
    <t>imagens\Shofly.png</t>
  </si>
  <si>
    <t>https://www.myfonts.com/pt/collections/shofly-font-mmma-creative</t>
  </si>
  <si>
    <t>Graffiti, Throwup, Street, Urban, Hiphop, Bubble, Bold, Playful, Handdrawn, Display, Lettering, Tag, Freestyle, Expressive, Headline, Logo, Streetwear, Funky, Youth, Raw</t>
  </si>
  <si>
    <t>Bratan Safioor</t>
  </si>
  <si>
    <t>imagens\Bratan_Safioor.png</t>
  </si>
  <si>
    <t>https://www.myfonts.com/pt/collections/bratan-safioor-font-tini-fitriani</t>
  </si>
  <si>
    <t>Serif, Display, Retro, Vintage, Nostalgic, Vintage Serif, Modern Font, Wedding, Luxury, Elegant, Logotype, Headline, Fashion, Elegant Serif, Quote, Wedding Serif, Magazine, Invitation Font, Beautiful</t>
  </si>
  <si>
    <t>Gelato Press</t>
  </si>
  <si>
    <t>Sunday Type</t>
  </si>
  <si>
    <t>Alessa Jo</t>
  </si>
  <si>
    <t>imagens\Gelato_Press.png</t>
  </si>
  <si>
    <t>https://www.myfonts.com/pt/collections/gelato-press-font-melonaqua</t>
  </si>
  <si>
    <t>Playful Font, Display Font, Handwritten, Rounded Typeface, Chunky Lettering, Soft Edges, Scrapbook Font, Bubble Font, Casual Display Type, Handdrawn Aesthetic, Playful Headline Font, Characterful Type Design, Decorative Lettering, Branding Typeface, Print and Packaging Font, Modern Handcrafted Font, Illustrative Typography, Rounded Lettering, Soft Serif Alternative, Informal Script</t>
  </si>
  <si>
    <t>Bright Glitten</t>
  </si>
  <si>
    <t>imagens\Bright_Glitten.png</t>
  </si>
  <si>
    <t>https://www.myfonts.com/pt/collections/bright-glitten-font-zeenesia-studio</t>
  </si>
  <si>
    <t>Serif, Display, Decorative, Logo, Logotype, Brand, Branding, Personal Branding, Social Media, Advertising, Product, Fashion, Packaging, Web Font, Boutique, Modern, Beauty, Casual, Simple, Feminine</t>
  </si>
  <si>
    <t>Story Guard</t>
  </si>
  <si>
    <t>imagens\Story_Guard.png</t>
  </si>
  <si>
    <t>https://www.myfonts.com/pt/collections/story-guard-font-sign-studio</t>
  </si>
  <si>
    <t>Golden Storyline</t>
  </si>
  <si>
    <t>imagens\Golden_Storyline.png</t>
  </si>
  <si>
    <t>https://www.myfonts.com/pt/collections/golden-storyline-font-bluestype-studio</t>
  </si>
  <si>
    <t>Script, Handwritten, Signature, Casual, Calligraphy, Chic, Elegant, Modern, Luxury, Swash, Wedding, Branding, Social Media, Best Seller, Watermark</t>
  </si>
  <si>
    <t>MC Rageston</t>
  </si>
  <si>
    <t>imagens\MC_Rageston.png</t>
  </si>
  <si>
    <t>https://www.myfonts.com/pt/collections/mc-rageston-font-maulana-creative</t>
  </si>
  <si>
    <t>Handwritten, Script, Brush, Font, Signature, Casual, Modern, Stylish, Authentic, Typeface, Rageston, Multilingual, Calligraphy, Branding, Quotes, Poster, Photography, Maulanacreative, Awesome Font, Signature Font</t>
  </si>
  <si>
    <t>Sunray Aura</t>
  </si>
  <si>
    <t>imagens\Sunray_Aura.png</t>
  </si>
  <si>
    <t>https://www.myfonts.com/pt/collections/sunray-aura-font-jafar07</t>
  </si>
  <si>
    <t>Serif, Script, Elegance, Classic, Feminine, Beauty, Magazine, Modern, Logo, Fashion, Clean, Refined, Media Social, Poster, Branding, Project, Signature, Calligraphy</t>
  </si>
  <si>
    <t>Qinetra Brush</t>
  </si>
  <si>
    <t>imagens\Qinetra_Brush.png</t>
  </si>
  <si>
    <t>https://www.myfonts.com/pt/collections/qinetra-brush-font-pointlab</t>
  </si>
  <si>
    <t>Lettering, Font, Typography, Calligraphy, Handwritten, Brush, Modern, Style, Wedding, Handwriting, Futuristic, Typographic, Elegant, Vintage, Script, Vector, Signature, Letter, Text, Alphabet</t>
  </si>
  <si>
    <t>Ghosoul</t>
  </si>
  <si>
    <t>imagens\Ghosoul.png</t>
  </si>
  <si>
    <t>https://www.myfonts.com/pt/collections/ghosoul-font-inviline</t>
  </si>
  <si>
    <t>Halloween, Horror, Spooky, Creepy, Ghost, Scary, Thriller, Nightmare, Haunted, Zombie, Scary Font, Halloween Font, Horror Font, Spooky Font, Brush Font, Ghost Font, Display Font, Creepy Typeface, Gothic Font, Blood Font</t>
  </si>
  <si>
    <t>Kindly Crunch</t>
  </si>
  <si>
    <t>imagens\Kindly_Crunch.png</t>
  </si>
  <si>
    <t>https://www.myfonts.com/pt/collections/kindly-crunch-font-rahagita-type</t>
  </si>
  <si>
    <t>Fancy Font, Kids Font, Palyful Font, Quirky Font, Books, Colorful, Cute Font, Menu, Logo, Flyer, Poster</t>
  </si>
  <si>
    <t>Selnonce</t>
  </si>
  <si>
    <t>imagens\Selnonce.png</t>
  </si>
  <si>
    <t>https://www.myfonts.com/pt/collections/selnonce-font-qweera-studio</t>
  </si>
  <si>
    <t>MC Osteno</t>
  </si>
  <si>
    <t>imagens\MC_Osteno.png</t>
  </si>
  <si>
    <t>https://www.myfonts.com/pt/collections/mc-osteno-font-maulana-creative</t>
  </si>
  <si>
    <t>Script, Monoline, Handwritten, Casual, Elegant, Stylish, Modern, Signature, Calligraphy, Branding, Logo, Quotes, Invitations, Wedding, Chic, Flowing, Unique, Personal, Typeface, Design</t>
  </si>
  <si>
    <t>Lossifanya</t>
  </si>
  <si>
    <t>imagens\Lossifanya.png</t>
  </si>
  <si>
    <t>https://www.myfonts.com/pt/collections/lossifanya-font-tini-fitriani</t>
  </si>
  <si>
    <t>Script, Handwritting, Retro, Vintage, Nostalgic, Vintage Script, Hippie, Classic, Summer, Wedding, Modern Calligraphy, Elegant, Beautiful Font, Luxury, Fancy, Magazine, Minimalist, Typography, Whimsical</t>
  </si>
  <si>
    <t>Tlasnos</t>
  </si>
  <si>
    <t>imagens\Tlasnos.png</t>
  </si>
  <si>
    <t>https://www.myfonts.com/pt/collections/tlasnos-font-hasnat-studio</t>
  </si>
  <si>
    <t>Branding Font, Modern Classic, Luxury Typeface, Fashion Logo, Graceful Serif, Magazine Font, Refined Luxury, Advertising Font, Publishing Font, Invitation Font, Display Serif, Typography Font, Premium Elegant, Luxury Modern, Premium Serif, Classy Serif, Sophisticated Serif, Elegant Design, Print Font, Timeless Serif</t>
  </si>
  <si>
    <t>Nedcol</t>
  </si>
  <si>
    <t>imagens\Nedcol.png</t>
  </si>
  <si>
    <t>https://www.myfonts.com/pt/collections/nedcol-font-hasnat-studio</t>
  </si>
  <si>
    <t>Modern Serif, Fashion Branding, Timeless Design, Premium Quality, Elegant Logo, Premium Style, Timeless Elegance, Refined Typeface, Modern Display, Fashion Serif, Luxury Branding, Premium Typeface, Sophisticated Style, Luxury Packaging, Classic Serif, Luxury Product, Contemporary Serif, Graceful Font, Fashion Label, Modern Magazine</t>
  </si>
  <si>
    <t>MC Lozuxo</t>
  </si>
  <si>
    <t>imagens\MC_Lozuxo.png</t>
  </si>
  <si>
    <t>https://www.myfonts.com/pt/collections/mc-lozuxo-font-maulana-creative</t>
  </si>
  <si>
    <t>Halloween, Spooky, Witch, Magic, Cute, Playful, Festival, October, Pumpkin, Brothers, Trick, Treat, Cursed, Spell, Bewitched, Wood, Modern, Display, Decorative, Fun</t>
  </si>
  <si>
    <t>ThornT</t>
  </si>
  <si>
    <t>imagens\ThornT.png</t>
  </si>
  <si>
    <t>https://www.myfonts.com/pt/collections/thornt-font-widydm</t>
  </si>
  <si>
    <t>Thorn, Thorn Font, Metal Font, Horror Font, Aggressive Font, Display Font, Gothic Font, Grunge Font, Sharp Font, Tattoo Font, Rock Font, Heavy Font, Dark Typeface, Edgy Font, Streetwear Font, Death Metal Font, Handcrafted Font, Bold Display, Underground Design, Brutal Font</t>
  </si>
  <si>
    <t>Tis De Candy</t>
  </si>
  <si>
    <t>imagens\Tis_De_Candy.png</t>
  </si>
  <si>
    <t>https://www.myfonts.com/pt/collections/tis-de-candy-font-tanon-design</t>
  </si>
  <si>
    <t>Candy Cane Font, Christmas Font, Playful Display Font, Decorative Typeface, Cute Holiday Font, Festive Lettering, Xmas Candy Font, Sweet Christmas Font, Fun Christmas Font, Holiday Script Font, Candy Stripe Font, Merry Font Style, Seasonal Display Font, Cheerful Xmas Font, Whimsical Holiday Font, Christmas Title Font, Cute Festive Font, Joyful Font Design, Christmas Decor Font, Candy Cane Letters</t>
  </si>
  <si>
    <t>Inky Bloom</t>
  </si>
  <si>
    <t>Ana's Fonts</t>
  </si>
  <si>
    <t>Ana Parracho</t>
  </si>
  <si>
    <t>imagens\Inky_Bloom.png</t>
  </si>
  <si>
    <t>https://www.myfonts.com/pt/collections/inky-bloom-font-ana-s-fonts</t>
  </si>
  <si>
    <t>Handwriting, Handwriting Font, Sans Font, Cute Font, Marker Font, Signature Font, Sign Font, Display Font, Handwritten, Handmade, Poster Font, Logo Font, Quotes Font, Greeting Card Design</t>
  </si>
  <si>
    <t>Jawharah</t>
  </si>
  <si>
    <t>imagens\Jawharah.png</t>
  </si>
  <si>
    <t>https://www.myfonts.com/pt/collections/jawharah-font-kaidosan</t>
  </si>
  <si>
    <t>Arabic Handwritten Font, Modern Arabic Font, Arabic Calligraphy Font, Arabic Script Font, Elegant Arabic Font, Arabic Handwriting, Arabic Display Font, Arabic Outline Font, Arabic Shadow Font, Islamic Font, Arabic Modern Calligraphy, Arabic Logo Font, Arabic Decorative Font, Artistic Arabic Font, Premium Arabic Font, Arabic Typeface, Arabic Stylish Font, Handwritten Arabic Typeface, Arabic Branding Font, Arabic Poster Font</t>
  </si>
  <si>
    <t>KLG Kaligra</t>
  </si>
  <si>
    <t>Kaligra.co</t>
  </si>
  <si>
    <t>Kurt Harahap</t>
  </si>
  <si>
    <t>imagens\KLG_Kaligra.png</t>
  </si>
  <si>
    <t>https://www.myfonts.com/pt/collections/klg-kaligra-font-kaligraco</t>
  </si>
  <si>
    <t>Display Sans, Clean Sans, Tropical Font, Warm Font, Resort Font, Coastal Font, Luxury Font, Branding Font, Logo Font, Minimalist Font, Elegant Sans, Premium Font, Modern Font, Lifestyle Font, Fashion Font, Packaging Font, Editorial Font, Summer Font, Travel Font, Retro Font</t>
  </si>
  <si>
    <t>Lagtees</t>
  </si>
  <si>
    <t>imagens\Lagtees.png</t>
  </si>
  <si>
    <t>https://www.myfonts.com/pt/collections/lagtees-font-hasnat-studio</t>
  </si>
  <si>
    <t>Refined Serif, Modern Serif, Timeless Serif, Classy Logo, Luxury Packaging, Title Font, Invitation Font, Branding Serif, High Fashion, Elegant Serif, Professional Branding, Sophisticated Typography, Refined Text, Luxury Font, Minimal Elegant, Refined Display, Classic Luxury, Business Font, Magazine Font, Minimal Serif</t>
  </si>
  <si>
    <t>Hegvoc</t>
  </si>
  <si>
    <t>imagens\Hegvoc.png</t>
  </si>
  <si>
    <t>https://www.myfonts.com/pt/collections/hegvoc-font-hasnat-studio</t>
  </si>
  <si>
    <t>Elegant Serif, Classy Font, Luxury Typeface, Refined Serif, Modern Elegant, Modern Refinement, Stylish Lettering, Premium Font, Sophisticated Serif, Luxury Headline, Professional Serif, Modern Magazine, Elegant Logo, Luxury Packaging, Premium Lettering, Editorial Typography, Fashion Elegance, Editorial Design, Fashion Branding, Timeless Font</t>
  </si>
  <si>
    <t>Oltum</t>
  </si>
  <si>
    <t>imagens\Oltum.png</t>
  </si>
  <si>
    <t>https://www.myfonts.com/pt/collections/oltum-font-hasnat-studio</t>
  </si>
  <si>
    <t>Branding Font, Magazine Fon, Wedding Font, Classic Modern, Fashion Logo, Luxury Packaging, Text Serif, Modern Serif, Sophisticated Serif, Elegant Serif, Identity Font, Premium Editorial, Design Font, Advertising Font, Stylish Serif, Refined Serif, Timeless Serif, Premium Serif, Upscale Branding, Professional Serif</t>
  </si>
  <si>
    <t>Foogzy</t>
  </si>
  <si>
    <t>imagens\Foogzy.png</t>
  </si>
  <si>
    <t>https://www.myfonts.com/pt/collections/foogzy-font-hasnat-studio</t>
  </si>
  <si>
    <t>Classy Logo, Editorial Font, Sophisticated Serif, Luxury Advertising, Fashion Magazine, Fashion Elegance, Luxury Typeface, Minimal Design, Modern Packaging, Elegant Branding, Stylish Lettering, Luxury Creative, Timeless Display, Premium Design, Magazine Headline, High Fashion, Modern Editorial, Luxury Print, Stylish Branding, Refined Lettering</t>
  </si>
  <si>
    <t>Rainbow Light</t>
  </si>
  <si>
    <t>HOHOHtype</t>
  </si>
  <si>
    <t>Saebom Lee</t>
  </si>
  <si>
    <t>imagens\Rainbow_Light.png</t>
  </si>
  <si>
    <t>https://www.myfonts.com/pt/collections/rainbow-light-font-hohohtype</t>
  </si>
  <si>
    <t>Color, Color Font, Heading, Happy, Lovely, Delightful, Decorative, Color Fonts, Rounded, Rounded Corners, Soft, Friendly, Playfull, Hand Drawn, Hand Lettered, Hand Lettering, Cute, Kids</t>
  </si>
  <si>
    <t>Hecate Display</t>
  </si>
  <si>
    <t>imagens\Hecate_Display.png</t>
  </si>
  <si>
    <t>https://www.myfonts.com/pt/collections/hecate-display-font-jafar07</t>
  </si>
  <si>
    <t>Serif, Display, Modern, Editorial, Classy, Sharp, Chic, Minimal, Branding, Magazine, Elegant, Contrast, Typography, Luxury, Aesthetic, Title, Stylish, Clean, Refined</t>
  </si>
  <si>
    <t>Zombie Feast</t>
  </si>
  <si>
    <t>imagens\Zombie_Feast.png</t>
  </si>
  <si>
    <t>https://www.myfonts.com/pt/collections/zombie-feast-font-beary</t>
  </si>
  <si>
    <t>Halloween, Halloween Font, Ghost, Mummy, Melted, Blood</t>
  </si>
  <si>
    <t>TRT Manique</t>
  </si>
  <si>
    <t>True Type Lab</t>
  </si>
  <si>
    <t>Yusilo Oktaprima Ardani</t>
  </si>
  <si>
    <t>imagens\TRT_Manique.png</t>
  </si>
  <si>
    <t>https://www.myfonts.com/pt/collections/trt-manique-font-true-type-lab</t>
  </si>
  <si>
    <t>Modern, Chic, Editorial, Casual, Font, Serif Font, Typography, Magazine, Corporate, New Product Release, Wedding Font, Stylish, Display Font, Nostalgic, Classy Serif, Brand Font, Blog, Blogger, Wedding, Nostalgic Serif</t>
  </si>
  <si>
    <t>Orbic</t>
  </si>
  <si>
    <t>Hazztype</t>
  </si>
  <si>
    <t>Muhammad Hastian</t>
  </si>
  <si>
    <t>imagens\Orbic.png</t>
  </si>
  <si>
    <t>https://www.myfonts.com/pt/collections/orbic-font-hazztype</t>
  </si>
  <si>
    <t>Sans Serif, Modern, Tech, Branding, Logo, Clean, Minimal, Contemporary, Geometric, Display, Digital, Corporate, Typeface, Typography, Font, Professional, Headline, Rounded, Web, Editorial</t>
  </si>
  <si>
    <t>TRT Merauke</t>
  </si>
  <si>
    <t>imagens\TRT_Merauke.png</t>
  </si>
  <si>
    <t>https://www.myfonts.com/pt/collections/trt-merauke-font-true-type-lab</t>
  </si>
  <si>
    <t>Sans Serif Font, Modern, Chic, Casual, Contemporary Font, Clean Lines Font, Header Font, Display Font, Sans Serif Display Fonts, Elegant Sans Serif, Fonts, Font, Clean Sans Serif Fonts, Stylish Sans Serif Fonts, Trendy Sans Serif Fonts, Custom Sans Serif Fonts, Modern Fonts, Elegant Fonts, Best Display Fonts</t>
  </si>
  <si>
    <t>Mellowish</t>
  </si>
  <si>
    <t>imagens\Mellowish.png</t>
  </si>
  <si>
    <t>https://www.myfonts.com/pt/collections/mellowish-font-shanaf</t>
  </si>
  <si>
    <t>Playful Font, Handdrawn Font, Handwritten Font, Quirky Font, Fun Font, Bold Font, Casual Font, Doodle Font, Cartoon Font, Cute Font, Modern Font, Friendly Font, Happy Font, Kid Font, Creative Font, Thick Font, Branding Font, Logo Font, Headline Font, Cafe Font</t>
  </si>
  <si>
    <t>Exomatic</t>
  </si>
  <si>
    <t>Artisan Themes</t>
  </si>
  <si>
    <t>Meidy Meichico</t>
  </si>
  <si>
    <t>imagens\Exomatic.png</t>
  </si>
  <si>
    <t>https://www.myfonts.com/pt/collections/exomatic-font-artisan-themes</t>
  </si>
  <si>
    <t>Tropical Font, Hawaiian Font, Display Font, Summer Font, Island Font, Beach Vibe, Sur Font, Tiki Style, Vacation Font, Aloha Typography, Playful, Excotic, Beach Party, Invitation, Decorative, Fun, Hawaiian Display Font, Poster</t>
  </si>
  <si>
    <t>MC Ludiezt</t>
  </si>
  <si>
    <t>imagens\MC_Ludiezt.png</t>
  </si>
  <si>
    <t>https://www.myfonts.com/pt/collections/mc-ludiezt-font-maulana-creative</t>
  </si>
  <si>
    <t>Halloween, Horror, Scary, Dripping, Bloody, DisplayFont, Creepy, Spooky, Gothic, Grunge, BrushFont, Handwritten, Poster, Movie, BookCover, Typography, Font, Design, Creative, HalloweenFont</t>
  </si>
  <si>
    <t>Urban Dharma</t>
  </si>
  <si>
    <t>imagens\Urban_Dharma.png</t>
  </si>
  <si>
    <t>https://www.myfonts.com/pt/collections/urban-dharma-font-shanaf</t>
  </si>
  <si>
    <t>Hindi Font, India Font, Cultural Font, Traditional Font, Classic Font, Elegant Font, Display Font, Logo Font, Heritage Font, Decorative Font, Vintage Font, Indian Style, Devanagari Font, Serif Font, Stylish Font, Modern, Branding Font, Ethnic Font, Spiritual Font, Yoga Font</t>
  </si>
  <si>
    <t>Amelyna</t>
  </si>
  <si>
    <t>imagens\Amelyna.png</t>
  </si>
  <si>
    <t>https://www.myfonts.com/pt/collections/amelyna-font-aisyah</t>
  </si>
  <si>
    <t>Handwriting, Cute, Creative, Craft, Business, Promotion, Kid Handwriting, Child, Long Text, Lovely</t>
  </si>
  <si>
    <t>Landmine</t>
  </si>
  <si>
    <t>Anxietype Foundry</t>
  </si>
  <si>
    <t>Annas Rifky Anhar</t>
  </si>
  <si>
    <t>imagens\Landmine.png</t>
  </si>
  <si>
    <t>https://www.myfonts.com/pt/collections/landmine-font-anxietype-foundry</t>
  </si>
  <si>
    <t>Serif, Expanded, Large, Magazine, Branding, Serif Font, Metal, Grunge, Fashion, Editoral, Headline, Album, Cover, Poster</t>
  </si>
  <si>
    <t>Sakiro</t>
  </si>
  <si>
    <t>District 62 Studio</t>
  </si>
  <si>
    <t>Megan Tamaccio</t>
  </si>
  <si>
    <t>imagens\Sakiro.png</t>
  </si>
  <si>
    <t>https://www.myfonts.com/pt/collections/sakiro-font-district-62-studio</t>
  </si>
  <si>
    <t>Script, Hand Drawn, Modern, Handwriting, Unisex, Brush, Titles, Overlay, Casual, Casual Script, Lettering, Restaurant, Brush Script, Naive, Handwritten, Magazine, Informal, Marker, Printed, Display</t>
  </si>
  <si>
    <t>Dh Kellia</t>
  </si>
  <si>
    <t>Ahmad Jamaludin</t>
  </si>
  <si>
    <t>imagens\Dh_Kellia.png</t>
  </si>
  <si>
    <t>https://www.myfonts.com/pt/collections/dh-kellia-font-ahmad-jamaludin</t>
  </si>
  <si>
    <t>Vintage Script, Retro Font, Cursive Font, Handwritten Script, Script Display, Logo Typeface, Branding Script, Retro Signage, Western Font, Classic Typeface, Nostalgic Design, Vintage Logo, Coffee Shop Font, Wild West Font, Retro Packaging, 70s Script, 60s Retro, Groovy Lettering, Handcrafted Style, Stylish Alternates</t>
  </si>
  <si>
    <t>Marionette Ricocheta</t>
  </si>
  <si>
    <t>imagens\Marionette_Ricocheta.png</t>
  </si>
  <si>
    <t>https://www.myfonts.com/pt/collections/marionette-ricocheta-font-tini-fitriani</t>
  </si>
  <si>
    <t>Script, Handwritten, Handwritting, Vintage, Nostalgic, Vintage Script, Summer, Wedding, Beautiful Font, Luxury, Magazine, Minimalist, Whimsical, Romantic, Cursive, Lettering, Hand Lettered Font, Swashes, Modern Fonts</t>
  </si>
  <si>
    <t>Blessing Blues</t>
  </si>
  <si>
    <t>imagens\Blessing_Blues.png</t>
  </si>
  <si>
    <t>https://www.myfonts.com/pt/collections/blessing-blues-font-tini-fitriani</t>
  </si>
  <si>
    <t>Script, Handwritting, Vintage, Nostalgic, Vintage Script, Hippie, Classic, Summer, Wedding, Beauty Font, Fancy, Minimalist, Unique, Romantic, Cursive, Hand Lettered Font, Modern Fonts</t>
  </si>
  <si>
    <t>MC Rossaly</t>
  </si>
  <si>
    <t>imagens\MC_Rossaly.png</t>
  </si>
  <si>
    <t>https://www.myfonts.com/pt/collections/mc-rossaly-font-maulana-creative</t>
  </si>
  <si>
    <t>Handwritten Font, Script Typeface, Modern Script, Elegant Handwriting, Brush Script, Casual Style, Feminine Design, Chic Lettering, Fashion Logo, Photography Branding, Stylish Signature, Smooth Curves, Natural Writing, Personal Touch, Creative Design, Trendy Typography, Lifestyle Font, Organic Flow, Soft Brush, Classy Font</t>
  </si>
  <si>
    <t>Burlexa</t>
  </si>
  <si>
    <t>Wing's Art Studio</t>
  </si>
  <si>
    <t>Christopher King</t>
  </si>
  <si>
    <t>imagens\Burlexa.png</t>
  </si>
  <si>
    <t>https://www.myfonts.com/pt/collections/burlexa-font-wings-art-studio</t>
  </si>
  <si>
    <t>Showgirl Fonts, Comic Fonts, Serif Fonts, Cartoon Serif Fonts, Striptease Fonts, Devil Fonts, Halloween Fonts, Witch Fonts, Witchcraft, Gig Poster Fonts, Pop Music Fonts, Tiki Fonts, Retro Fonts, 1950s Style Fonts, Fifties Style, Pin Up Fonts, Grind House Fonts, Vegas Fonts, Carnival Fonts, Decorative Fonts</t>
  </si>
  <si>
    <t>Michaila Shefira</t>
  </si>
  <si>
    <t>imagens\Michaila_Shefira.png</t>
  </si>
  <si>
    <t>https://www.myfonts.com/pt/collections/michaila-shefira-font-nathatype</t>
  </si>
  <si>
    <t>Luxuryfonts, Elegantfonts, Modernfont, Luxuryfont, Elegantserif, Serif, Font, Modern, Branding, Advertisement, Luxury, Bookcover, Invitation, Classic, Stylish</t>
  </si>
  <si>
    <t>Xylver PRO</t>
  </si>
  <si>
    <t>imagens\Xylver_PRO.png</t>
  </si>
  <si>
    <t>https://www.myfonts.com/pt/collections/xylver-pro-font-inviline</t>
  </si>
  <si>
    <t>Sci-fi Font, Modern Blackletter, Futuristic Serif, Cyberpunk Font, Dark Display, Experimental Font, Sharp Letters, Bold Modern, Distorted Font, Brutalist Serif, Dark Fashion, Twisted Letters, Tattoo, Gothic Font, Blackletter Font, Black Metal, Lettering, Black Letter, Branding, Logo</t>
  </si>
  <si>
    <t>Primaxis</t>
  </si>
  <si>
    <t>Octotypo</t>
  </si>
  <si>
    <t>Julien Janiszewski</t>
  </si>
  <si>
    <t>imagens\Primaxis.png</t>
  </si>
  <si>
    <t>https://www.myfonts.com/pt/collections/primaxis-font-octotypo</t>
  </si>
  <si>
    <t>Geometric, Sans Serif, Humanist, Modern, Contemporary, Clean, Legible, Versatile, Editorial, Branding, Display, Text, Minimalist, Open Counters, Structured, Expressive, Script Companion, Italic, Logo Type, Professional</t>
  </si>
  <si>
    <t>Ghoul Stain</t>
  </si>
  <si>
    <t>imagens\Ghoul_Stain.png</t>
  </si>
  <si>
    <t>https://www.myfonts.com/pt/collections/ghoul-stain-font-beary</t>
  </si>
  <si>
    <t>Halloween, Script, Ghost, Handwritten, Pumpkin, Display Font</t>
  </si>
  <si>
    <t>Frosteca</t>
  </si>
  <si>
    <t>ahweproject</t>
  </si>
  <si>
    <t>Dida Ahluddin</t>
  </si>
  <si>
    <t>imagens\Frosteca.png</t>
  </si>
  <si>
    <t>https://www.myfonts.com/pt/collections/frosteca-font-ahweproject</t>
  </si>
  <si>
    <t>Display Font, Sans Serif Font, Flourish Font, Elegant Font, Decorative Font, Vintage Font, Bold Font, Stylish Font, Artistic Font, Fancy Font, Headline Font, Logo Font, Branding Font, Retro Font, Headline, Christmas, Flourish</t>
  </si>
  <si>
    <t>Fox Patricia</t>
  </si>
  <si>
    <t>imagens\Fox_Patricia.png</t>
  </si>
  <si>
    <t>https://www.myfonts.com/pt/collections/fox-patricia-font-fox7</t>
  </si>
  <si>
    <t>Minimal Font, Display Font, Modern Serif, Retro Serif Font, Vintage Display Font, Stylish Serif, Elegant Serif, Versatile Serif Font, Branding Font, Poster Font, Magazine Title Font, Decorative Serif Font, Unique Serif Typeface, Strong Serif, Canva Font, Procreate Font, Print Design Font, Digital Design Font, Fashion Branding Font, Classic Serif Style</t>
  </si>
  <si>
    <t>Helliona Display</t>
  </si>
  <si>
    <t>imagens\Helliona_Display.png</t>
  </si>
  <si>
    <t>https://www.myfonts.com/pt/collections/helliona-display-font-gian-studio</t>
  </si>
  <si>
    <t>Font, Wedding, Logos, Poster, Mug, Tote Bag, Wedding Invitationt, Tamplate, Classic, Casual, Vintage, CEO, Film, Horror, Magazine, Book, Paper Cup, Packaging, Advertisements, Long Texts</t>
  </si>
  <si>
    <t>Monday Notes</t>
  </si>
  <si>
    <t>imagens\Monday_Notes.png</t>
  </si>
  <si>
    <t>https://www.myfonts.com/pt/collections/monday-notes-font-melonaqua</t>
  </si>
  <si>
    <t>Handcrafted Sans Serif, Rounded Edge Font, Square-form Lettering, Casual Display Typeface, Hand-drawn Typography, Modern Handwritten Sans, Soft Geometric Type, Clean Headline Font, Print and Packaging Type, Organic Sans Serif Style, Branding Type Design, Minimalist Handcrafted Font, Informal Sans Serif, Subtle Character Font, User-friendly Display Type, Creative Lettering Font, Digital Planner Typeface, Logo and Label Font, Stationery Typography, Poster Craft Font</t>
  </si>
  <si>
    <t>Graceluxe</t>
  </si>
  <si>
    <t>imagens\Graceluxe.png</t>
  </si>
  <si>
    <t>https://www.myfonts.com/pt/collections/graceluxe-font-shanaf</t>
  </si>
  <si>
    <t>Signature Font, Luxury Font, Elegant Font, Handwriting Font, Modern Script, Bold Signature, Branding Font, Logo Font, Fashion Font, Classy Font, Stylish Font, Cursive Font, Calligraphy Font, Premium Font, Modern Font, Photography Font, Elegant Script, Personal Brand, Autograph Font, Signature Style</t>
  </si>
  <si>
    <t>Kustom Machina</t>
  </si>
  <si>
    <t>imagens\Kustom_Machina.png</t>
  </si>
  <si>
    <t>https://www.myfonts.com/pt/collections/kustom-machina-font-ironbird-creative</t>
  </si>
  <si>
    <t>Vintage, Retro, Serif, Script, Hand Drawn, Organic, Font Duo, Tattoo, Display, Label, Logo, Poster, Apparel, Packaging, Lettering, Rustic, Ironbird Creative, Handmade Font, Oldschool, Textured</t>
  </si>
  <si>
    <t>Chella Lagak</t>
  </si>
  <si>
    <t>Chatype Studio</t>
  </si>
  <si>
    <t>imagens\Chella_Lagak.png</t>
  </si>
  <si>
    <t>https://www.myfonts.com/pt/collections/chella-lagak-font-chatype-studio</t>
  </si>
  <si>
    <t>Handwritten, Handwriting, Script, Aesthetic Cursive, Modern, Calligraphy, Typography, Chrismast, Season, Bundle, Christmas, Typeface, Signature</t>
  </si>
  <si>
    <t>Barviera</t>
  </si>
  <si>
    <t>imagens\Barviera.png</t>
  </si>
  <si>
    <t>https://www.myfonts.com/pt/collections/barviera-font-hishand-studio</t>
  </si>
  <si>
    <t>Sans, Sans Serif, Display, Logo, Logotype, Branding, Marketing, Icon, Aesthetic, Cool, Barviera, Modern, Modern Sans, Classy Sans, Classic Sans Serif, Elegant, Luxury, Minimalism, Simple, Display Sans Serif</t>
  </si>
  <si>
    <t>YJC Sunny Ripple</t>
  </si>
  <si>
    <t>imagens\YJC_Sunny_Ripple.png</t>
  </si>
  <si>
    <t>https://www.myfonts.com/pt/collections/yjc-sunny-ripple-font-yenty-jap-co</t>
  </si>
  <si>
    <t>Hand-drawn, Playful, Whimsical, Friendly, Casual, Handwritten, Doodle, Bouncy, Bubble, Rounded, Display, Cute, Children's, Craft, Artisanal, Food Packaging, Lifestyle, Social Media, Cheerful, Warm</t>
  </si>
  <si>
    <t>GC Chroma</t>
  </si>
  <si>
    <t>imagens\GC_Chroma.png</t>
  </si>
  <si>
    <t>https://www.myfonts.com/pt/collections/gc-chroma-font-onyx-studio</t>
  </si>
  <si>
    <t>Rakoya</t>
  </si>
  <si>
    <t>imagens\Rakoya.png</t>
  </si>
  <si>
    <t>https://www.myfonts.com/pt/collections/rakoya-font-salamahtype</t>
  </si>
  <si>
    <t>Neat, Fancy, Rounded, Sans Serif, Smooth, Modern, Logo, Logotype, Playful, Boutique, Fashion, Beauty, Urban, Display, Label, Curves, Media, Social, Content, Headline</t>
  </si>
  <si>
    <t>GC Palioka</t>
  </si>
  <si>
    <t>imagens\GC_Palioka.png</t>
  </si>
  <si>
    <t>https://www.myfonts.com/pt/collections/gc-palioka-font-onyx-studio</t>
  </si>
  <si>
    <t>Sans Serif, Modern, Branding, Helvetica, Poster, Magazine, Clean Sans, Modern Sans, Display, Web, Business, Corporate Font, Minimal Font, Timeless Font, Condensed Font, Editorial, Body Text Font, Print Font, Social Media Font, Logotype</t>
  </si>
  <si>
    <t>GC Fodax</t>
  </si>
  <si>
    <t>imagens\GC_Fodax.png</t>
  </si>
  <si>
    <t>https://www.myfonts.com/pt/collections/gc-fodax-font-onyx-studio</t>
  </si>
  <si>
    <t>Sans Serif, Modern, Branding, Neutral, Helvetica, Typeface, Poster, Magazine, Clean Sans, Modern Sans, Display, Business, Packaging, Minimal Font, Condensed Font, Headline, Print Font, Logo Font, Logotype</t>
  </si>
  <si>
    <t>Anarchy Handwriting</t>
  </si>
  <si>
    <t>imagens\Anarchy_Handwriting.png</t>
  </si>
  <si>
    <t>https://www.myfonts.com/pt/collections/anarchy-handwriting-font-mvmet</t>
  </si>
  <si>
    <t>Skate, Skateboard, T-shirt, Music, Punk, Rock, Heading, Punk Rock, Pop-punk, Punk Font, Street Punks, Movie Poster, Headline Poster, Poster Fonts, Postertype, Rock Poster, Music Poster, Tshirt Fonts, Clothing Fonts, Marker Font</t>
  </si>
  <si>
    <t>Pueblo Trails</t>
  </si>
  <si>
    <t>imagens\Pueblo_Trails.png</t>
  </si>
  <si>
    <t>https://www.myfonts.com/pt/collections/pueblo-trails-font-shanaf</t>
  </si>
  <si>
    <t>Mexican Font, Taco Font, Mexico Font, Vintage Font, Bold Font, Display Font, Fiesta Font, Food Font, Restaurant Font, Latin Font, Ethnic Font, Cultural Font, Heritage Font, Fun Font, Festival Font, Logo Font, Branding Font, Western Font, Festive Font, Classic Font</t>
  </si>
  <si>
    <t>Postherym Shungela</t>
  </si>
  <si>
    <t>imagens\Postherym_Shungela.png</t>
  </si>
  <si>
    <t>https://www.myfonts.com/pt/collections/postherym-shungela-font-ayska</t>
  </si>
  <si>
    <t>Handwritten, Handwriting Font, Modern, Script, Signature Font, Logo Font, Website Font, Casual Script, Test, Logotype, Typeface, Typography, Invitation, Type, Natural, Hand Lettering, Swashes, Cursive Font, Hand Lettered, Branding</t>
  </si>
  <si>
    <t>Kosegry</t>
  </si>
  <si>
    <t>imagens\Kosegry.png</t>
  </si>
  <si>
    <t>https://www.myfonts.com/pt/collections/kosegry-font-rvandtype</t>
  </si>
  <si>
    <t>Blackletter, Gothic, Horror, Death Metal, Music, Cover, Headline</t>
  </si>
  <si>
    <t>Rosta Gudhing</t>
  </si>
  <si>
    <t>imagens\Rosta_Gudhing.png</t>
  </si>
  <si>
    <t>https://www.myfonts.com/pt/collections/rosta-gudhing-font-ayska</t>
  </si>
  <si>
    <t>Font, Script, Handwritten, Modern Font, Signature Font, Logo Font, Elegant Font, Stylish Font, Chic Font, Swash, Ligatures, Handwriting, Branding, Hand Lettered Font, Cursive Font, Swashes, Hand Lettering, Typography, Typeface, Logotype</t>
  </si>
  <si>
    <t>Best Soulmate</t>
  </si>
  <si>
    <t>imagens\Best_Soulmate.png</t>
  </si>
  <si>
    <t>https://www.myfonts.com/pt/collections/best-soulmate-font-fikryal</t>
  </si>
  <si>
    <t>Handwritten, Display, Friendly, Branding, Logo, Label, Social Media, Webfont, Ads, Handwritten Font, Handwritting Font, Branding Font, Branding Display</t>
  </si>
  <si>
    <t>Laguna Hunters</t>
  </si>
  <si>
    <t>imagens\Laguna_Hunters.png</t>
  </si>
  <si>
    <t>https://www.myfonts.com/pt/collections/laguna-hunters-font-salamahtype</t>
  </si>
  <si>
    <t>Calligraphy, Fashion, Beauty, Summer, Holiday, Wedding, Script, Modern, Neat, Logo, Logotype, Poster, Furniture, Property, Tropical, Seasonal, Healine, Vintage, Charm, Retro</t>
  </si>
  <si>
    <t>Marline</t>
  </si>
  <si>
    <t>imagens\Marline.png</t>
  </si>
  <si>
    <t>https://www.myfonts.com/pt/collections/marline-font-cocodesign</t>
  </si>
  <si>
    <t>Calligraphy Font Script, Connected Font, Summer Font, Swashes Pua Encoded Alternates, Playful Fonts, Advanture Font, Couple Fonts, Cover Fonts, Craft Fonts, Crafty Fonts, Cricut Fonts, Cute Fonts, Cutting Fonts, Elegant Fonts, Father's Day Fonts, Fun Fonts, Handwritten</t>
  </si>
  <si>
    <t>La Massima</t>
  </si>
  <si>
    <t>imagens\La_Massima.png</t>
  </si>
  <si>
    <t>https://www.myfonts.com/pt/collections/la-massima-font-set-sail-studios</t>
  </si>
  <si>
    <t>Fun, Playful, Bold, Script, Friendly, Trendy, Clean, Cool, Graffiti, Doodle, Scribble, Youthful, Energetic, Energy, Vibrant, Kids, Happy, Bright, Commercial, Wild</t>
  </si>
  <si>
    <t>Smoothy Cappucinna</t>
  </si>
  <si>
    <t>imagens\Smoothy_Cappucinna.png</t>
  </si>
  <si>
    <t>https://www.myfonts.com/pt/collections/smoothy-cappucinna-font-nathatype</t>
  </si>
  <si>
    <t>Logofont, Logo, Foodlogo, Foodfont, Modern, Boldmodern, Duo, Stylish, Display, Brand, Branding, Restaurant, Lettering, Handwritten, Script</t>
  </si>
  <si>
    <t>Hicoby</t>
  </si>
  <si>
    <t>imagens\Hicoby.png</t>
  </si>
  <si>
    <t>https://www.myfonts.com/pt/collections/hicoby-font-letterena-studios</t>
  </si>
  <si>
    <t>Aesthetic Handwritten Font, Luxury Script, Trend, Branding, Web, Font, Trending, Fashion, Website, Promo, Elegant, Aesthetic Font, Clothing, Promotion</t>
  </si>
  <si>
    <t>Loyal Pup</t>
  </si>
  <si>
    <t>imagens\Loyal_Pup.png</t>
  </si>
  <si>
    <t>https://www.myfonts.com/pt/collections/loyal-pup-font-inviline</t>
  </si>
  <si>
    <t>Groovy, Retro, Display, Bold, Rounded, Script, Funky, Vintage, Playful, 70s, Bold Font, Groovy Font, Retro Font, Summer Vibe, Decorative Font, Retro Display, Fun Typeface, Swirl Font, Chunky Letters, Retro Aesthetic</t>
  </si>
  <si>
    <t>Desporto Retro</t>
  </si>
  <si>
    <t>imagens\Desporto_Retro.png</t>
  </si>
  <si>
    <t>https://www.myfonts.com/pt/collections/retro-sport-font-nirmana-visual</t>
  </si>
  <si>
    <t>retro, groovy, vintage, 1980s, 80s, 80s font, 1980s font, retro font, wedding, love, wedding font, magazine, headline, poster, poster font, cover, packaging, label, branding, graphic design, visual identity, retro script, sports, sport font, baseball, baseball script, baseball font, vintage baseball font, retro baseball, softball, fashion, 1970s, 70's, 70s font, 1970's, trendy, popular, vintage font, best seller, social media, clothing, university apparel, apparel, apparel font, apparel design, clothingapparel, apparels, packaging font, food packaging font, packaging fonts, roller blade, heading, casual, decorative, romantic, brush, playful, rounded, 70s, vintage baseball, food packaging, sport</t>
  </si>
  <si>
    <t>Delfico</t>
  </si>
  <si>
    <t>Letterluck</t>
  </si>
  <si>
    <t>Bayu Tri Ratman</t>
  </si>
  <si>
    <t>imagens\Delfico.png</t>
  </si>
  <si>
    <t>https://www.myfonts.com/pt/collections/delfico-font-letterluck</t>
  </si>
  <si>
    <t>Playful Font, Rounded Font, Bold Display Font, Handmade Typeface, Whimsical Typography, Creative Branding Font, Kids Product Font, Fun Logo Font, Bubble Style Font, Friendly Font, Custom Font Design, Modern Retro Font, Cute Packaging Font, Soft Edge Font, Youthful Font, Artistic Font, Lifestyle Brand Font, Social Media Font, Headline Font, Eye-catching Font</t>
  </si>
  <si>
    <t>Truewild</t>
  </si>
  <si>
    <t>imagens\Truewild.png</t>
  </si>
  <si>
    <t>https://www.myfonts.com/pt/collections/truewild-font-artisan-themes</t>
  </si>
  <si>
    <t>Western Font, Cowboy Font, Slab Font, Wild West Typeface, Vintage Display Font, Rodeo Font, Country Typography, 3D Font, Outline Font, Extrude Font, Adventure Font, Rustic Font, Bold Serif, Modern Western Font, Desert Font, Retro Sign Font, Old West Type</t>
  </si>
  <si>
    <t>Balgio</t>
  </si>
  <si>
    <t>Syauqi Studio</t>
  </si>
  <si>
    <t>Muhammad Asroful Umam</t>
  </si>
  <si>
    <t>imagens\Balgio.png</t>
  </si>
  <si>
    <t>https://www.myfonts.com/pt/collections/balgio-font-syauqi-studio</t>
  </si>
  <si>
    <t>Rounded Slab Serif, Bold Display Font, Modern Serif Typeface, Logo Branding Font, Friendly Serif Font, Headline Typography, Packaging Design Font, Editorial Magazine Font, Approachable Serif, Soft Modern Display, Vintage Modern Style, Geometric Serif Design, Advertising Typeface, Warm Bold Lettering, Contemporary Slab Serif, Clean Brand Identity, Stylish Readable Serif, Digital Media Font, Confident Brand Type, Timeless Display Serif</t>
  </si>
  <si>
    <t>Grimvale</t>
  </si>
  <si>
    <t>imagens\Grimvale.png</t>
  </si>
  <si>
    <t>https://www.myfonts.com/pt/collections/grimvale-font-youthlabs</t>
  </si>
  <si>
    <t>Horror, Spooky, Scary, Dripping, Halloween, Bold, Vintage, Movie, Montster, Creepy, Thriller, Ghotic, Dark, Retro, Bold Font, Blood, Poster, Display, Cinematic, Mystery</t>
  </si>
  <si>
    <t>Redfire</t>
  </si>
  <si>
    <t>imagens\Redfire.png</t>
  </si>
  <si>
    <t>https://www.myfonts.com/pt/collections/redfire-font-shanaf</t>
  </si>
  <si>
    <t>Flame Font, Fire Font, Hot Font, Spicy Font, Display Font, Bold Font, Food Font, Bbq Font, Restaurant Font, Grill Font, Heat Font, Cooking Font, Strong Font, Logo Font, Branding Font, Poster Font, Headline Font, Flame Style, Energy Font, Power Font</t>
  </si>
  <si>
    <t>Funky Splash</t>
  </si>
  <si>
    <t>imagens\Funky_Splash.png</t>
  </si>
  <si>
    <t>https://www.myfonts.com/pt/collections/funky-splash-font-letterafandi-studio</t>
  </si>
  <si>
    <t>FunkySplashFont, DisplayFont, FunFont, CreativeTypography, PlayfulFont, BoldFont, UniqueFont, TypographyDesign, GraphicDesign, ModernDisplay</t>
  </si>
  <si>
    <t>Craft Mark</t>
  </si>
  <si>
    <t>imagens\Craft_Mark.png</t>
  </si>
  <si>
    <t>https://www.myfonts.com/pt/collections/craft-mark-font-struggle-studio</t>
  </si>
  <si>
    <t>Craftmark, Slant Font, Font Duo, Handmadefont, Displayfont, Playfulfont, Funfont, Quirkyfont, Boldtype, Creativedesign, Fontinspiration, Uniquelettering, Kidfriendlyfont, Graphicdesign, Typography, Typographydesign, Brandingfont, Logofont, Posterfont, Packagingdesign</t>
  </si>
  <si>
    <t>Papyrcuts</t>
  </si>
  <si>
    <t>imagens\Papyrcuts.png</t>
  </si>
  <si>
    <t>https://www.myfonts.com/pt/collections/papyrcuts-font-ikiikowrk</t>
  </si>
  <si>
    <t>Cut Out Font, Papercut Style, Poster Art Font, Urban Typography, Contemporary Font, Edgy Font, DIY Typography, Poster, Poster Font, Art Exhibition Font, Magazine, Magazine Font, Artsy Font, Abstract Font, Handdrawing Font, Handmade Font, Organic Font</t>
  </si>
  <si>
    <t>Giggle Drop</t>
  </si>
  <si>
    <t>imagens\Giggle_Drop.png</t>
  </si>
  <si>
    <t>https://www.myfonts.com/pt/collections/giggle-drop-font-letterhend</t>
  </si>
  <si>
    <t>Bubble Font, Playful, Cute, Rounded, Bold, Fun, Cheerful, Kids, Cartoon, Comic, Soft, Thick, Display, Creative, Joyful, Handwritten, Slanted, Bright, Friendly, Modern</t>
  </si>
  <si>
    <t>Froke</t>
  </si>
  <si>
    <t>imagens\Froke.png</t>
  </si>
  <si>
    <t>https://www.myfonts.com/pt/collections/froke-font-drizy-font</t>
  </si>
  <si>
    <t>Display, Slanted, Japan, Y2k, Modern, Digital, Futuristic, All Caps</t>
  </si>
  <si>
    <t>Racken</t>
  </si>
  <si>
    <t>imagens\Racken.png</t>
  </si>
  <si>
    <t>https://www.myfonts.com/pt/collections/racken-font-letterhend</t>
  </si>
  <si>
    <t>Retro, Retro Futurism, 80s Style, Americana, Vintage, Bold, Display, Racing, Speed, Dynamic, Slanted, Italic, Powerful, Headline, Strong, Masculine, Futuristic, Sporty</t>
  </si>
  <si>
    <t>Bonitte</t>
  </si>
  <si>
    <t>imagens\Bonitte.png</t>
  </si>
  <si>
    <t>https://www.myfonts.com/pt/collections/bonitte-font-marvadesign</t>
  </si>
  <si>
    <t>Script, Typeface, Display, Cursive, Retro, Classic, Vintage, Thick, Fluid, Bold, Black, Chunky, Branding, Packaging, Logo, Logotype, Handwritten, Calligraphy, Rounded, Food</t>
  </si>
  <si>
    <t>Skateride</t>
  </si>
  <si>
    <t>imagens\Skateride.png</t>
  </si>
  <si>
    <t>https://www.myfonts.com/pt/collections/skateride-font-shanaf</t>
  </si>
  <si>
    <t>Brush Font, Street Font, Logo Font, Bold Font, Urban Font, Cool Font, Modern Font, Graffiti Font, Branding Font, Poster Font, Edgy Font, Skate Font, Handmade Font, Brush Script, Casual Font, Youth Font, Streetwear Font, Headline Font, Fashion Font, Sport Font</t>
  </si>
  <si>
    <t>Sport Pulse</t>
  </si>
  <si>
    <t>imagens\Sport_Pulse.png</t>
  </si>
  <si>
    <t>https://www.myfonts.com/pt/collections/sport-pulse-font-nirmana-visual</t>
  </si>
  <si>
    <t>Racing, Techno, Automotive, Race, Racecar, Sport, Logo, Speed, Fast, Turbo, Technology, Esport, Modern, Futuristic</t>
  </si>
  <si>
    <t>Muffin Flury</t>
  </si>
  <si>
    <t>imagens\Muffin_Flury.png</t>
  </si>
  <si>
    <t>https://www.myfonts.com/pt/collections/flury-muffin-font-nirmana-visual</t>
  </si>
  <si>
    <t>Playful, Food Font, Logo, Branding, Product Packaging, Smooth, Bold, Clean, Fun, Bakery, Cafe, Restaurant, Label, Menu</t>
  </si>
  <si>
    <t>Crumble Cheesecake</t>
  </si>
  <si>
    <t>Viswell</t>
  </si>
  <si>
    <t>Najril Ilham Amrullah</t>
  </si>
  <si>
    <t>imagens\Crumble_Cheesecake.png</t>
  </si>
  <si>
    <t>https://www.myfonts.com/pt/collections/crumble-cheesecake-font-viswell</t>
  </si>
  <si>
    <t>Handwritten, Display, Food, Branding, Packaging, Logo, Playful, Bold, Fun, Chunky, Friendly, Handmade, Cartoon, Whimsical, Creamy, Organic, Cute, Brand</t>
  </si>
  <si>
    <t>Flanky</t>
  </si>
  <si>
    <t>imagens\Flanky.png</t>
  </si>
  <si>
    <t>https://www.myfonts.com/pt/collections/flanky-font-artisan-themes</t>
  </si>
  <si>
    <t>Food Font, Bold Font, Sans Serif Font, Sans Serif, Display Font, Retro Font, 3D Font, Outline Font, Playful Font, Restaurant Branding, Fun Font, Fast Food Logo, Logo Font, Branding Font, Vintage Font, Vintage Display Font, Bold Sans, Packaging Design, Chucky Font, Trend Font</t>
  </si>
  <si>
    <t>Delynta Roastiph</t>
  </si>
  <si>
    <t>Oct 23, 2025</t>
  </si>
  <si>
    <t>imagens\Delynta_Roastiph.png</t>
  </si>
  <si>
    <t>https://www.myfonts.com/pt/collections/delynta-roastiph-font-letterena-studios</t>
  </si>
  <si>
    <t>Handwritten Ink Font, Luxury Script, Brand, Logo, Fashion, Web, Promotion, Website, Branding, Ink, Font, Display, Promo</t>
  </si>
  <si>
    <t>Niravaka</t>
  </si>
  <si>
    <t>imagens\Niravaka.png</t>
  </si>
  <si>
    <t>https://www.myfonts.com/pt/collections/niravaka-font-twinletter</t>
  </si>
  <si>
    <t>Classy, Luxury, Bold, Vintage, Font, Modern, Minimalist, Clean, Beauty, Geometric, Logo, Fragrance, Woman, Elegance, Skincare</t>
  </si>
  <si>
    <t>Voyers Magicra</t>
  </si>
  <si>
    <t>imagens\Voyers_Magicra.png</t>
  </si>
  <si>
    <t>https://www.myfonts.com/pt/collections/voyers-magicra-font-timelesstype-studio</t>
  </si>
  <si>
    <t>Elegant Serif Font, Serif, Elegant, Fashion, Logo, Sasn, Display, Website, Trend, Font, Branding, Luxury Serif, Promotion</t>
  </si>
  <si>
    <t>Recheng</t>
  </si>
  <si>
    <t>imagens\Recheng.png</t>
  </si>
  <si>
    <t>https://www.myfonts.com/pt/collections/recheng-font-zaain-type</t>
  </si>
  <si>
    <t>Advertising, Book, Branding, Business, Decorative, Casual, Display, Elegant, Fashion, Headline, Logo, Magazine, Modern, Social Media, Title, Web Font, Packaging, Clothing, Stylish, Minimalist</t>
  </si>
  <si>
    <t>Harfterd</t>
  </si>
  <si>
    <t>imagens\Harfterd.png</t>
  </si>
  <si>
    <t>https://www.myfonts.com/pt/collections/harfterd-font-letterena-studios</t>
  </si>
  <si>
    <t>Modern Serif Font, Modern Font, Luxury Serif, Brand, Logo, Serif, Display, Web, Trend, Wedding, Website, Branding, Fashion, Font, Promotion</t>
  </si>
  <si>
    <t>Dallond Coast</t>
  </si>
  <si>
    <t>imagens\Dallond_Coast.png</t>
  </si>
  <si>
    <t>https://www.myfonts.com/pt/collections/dallond-coast-font-multype-studio</t>
  </si>
  <si>
    <t>Handwritten Font, Script Font, Brush Font, Modern Calligraphy, Cursive Font, Handwriting Typeface, Logo Font, Wedding Invitation Font, Elegant Script, Feminine Font, Signature Font, Modern Handwriting Font, Aesthetic Typography, Luxury Handwritten Font, Handwritting, Branding Font, Logotype Font, Photography Font, Boutique Font, Handbrush Font</t>
  </si>
  <si>
    <t>Beautiful Aletha Italic</t>
  </si>
  <si>
    <t>imagens\Beautiful_Aletha_Italic.png</t>
  </si>
  <si>
    <t>https://www.myfonts.com/pt/collections/beautiful-aletha-italic-font-yoga-letter</t>
  </si>
  <si>
    <t>Christmas, Valentine, Wedding, Invitations, Handwritten, Print, Banner, Poster, Halloween, Social Media</t>
  </si>
  <si>
    <t>Inky Typer</t>
  </si>
  <si>
    <t>Fidan Fonts</t>
  </si>
  <si>
    <t>Fidan Aslanova</t>
  </si>
  <si>
    <t>imagens\Inky_Typer.png</t>
  </si>
  <si>
    <t>https://www.myfonts.com/pt/collections/inky-typer-font-fidan-fonts</t>
  </si>
  <si>
    <t>Ink, Handwritten, Typer, Sans Serif, Personal, Handdrawn, Handwriting, Modern, Inky, Marker, Ttf, Multilingual, Simple, Friendly, App, Typing, Clean, Minimal, Adaptable, Effortless</t>
  </si>
  <si>
    <t>Mendyora</t>
  </si>
  <si>
    <t>imagens\Mendyora.png</t>
  </si>
  <si>
    <t>https://www.myfonts.com/pt/collections/mendyora-font-letterena-studios</t>
  </si>
  <si>
    <t>Bold Calligraphy Font, Luxury Script, Brand, Logo, Fashion, Web, Website, Branding, Trend, Promotion</t>
  </si>
  <si>
    <t>Nibblingbloomers</t>
  </si>
  <si>
    <t>imagens\Nibblingbloomers.png</t>
  </si>
  <si>
    <t>https://www.myfonts.com/pt/collections/nibblingbloomers-font-jointype</t>
  </si>
  <si>
    <t>Nibbling, Bloomers, Nibbleingbloomers, Bread, Toast, Spread, Butter, Lettering, Jgp, Jgpartworker, Ploughmans, Jointtype, Jointype</t>
  </si>
  <si>
    <t>Murisa Fiasco</t>
  </si>
  <si>
    <t>imagens\Murisa_Fiasco.png</t>
  </si>
  <si>
    <t>https://www.myfonts.com/pt/collections/murisa-fiasco-font-murisa-studio</t>
  </si>
  <si>
    <t>Murisa Fiasco, Luxury Font, Elegant Display Font, High-end Typeface, Editorial Font, Fashion Branding Font, Avant-garde Typography, Eastern European Language Supp, Stylized Serif Font, Artistic Font, Premium Font, Dramatic Font, Statement Typeface, Ornamental Font, Unique Capital Letters, Bold Branding Font, Expressive Font, Sophisticated Font, Multilingual Font, Creative Headline Font, Upscale Packaging Font</t>
  </si>
  <si>
    <t>Nomen Est Omen</t>
  </si>
  <si>
    <t>imagens\Nomen_Est_Omen.png</t>
  </si>
  <si>
    <t>https://www.myfonts.com/pt/collections/nomen-est-omen-font-artisticandunique</t>
  </si>
  <si>
    <t>Blackletter Font, Blackletter Font Family, Blackletter Typeface, Designers, Web Designers, Magazine Designers, Magazine Design, Newspaper Design, Multilingual Supports, Multilingual, Multilingual Font, Stylish, Stylish Blackletter, Desktop Font, Blackletter Display, Web Design, Creative, Graphic Designers, Branding, Branding Font, Logo Font, Modern Blackletter Font, Opentype Font, Vintage Modern, Gothic, Fraktur, Fraktur Font, Alternate Characters, Award Certificate, Gothic Typeface</t>
  </si>
  <si>
    <t>PN Marshberry</t>
  </si>
  <si>
    <t>imagens\PN_Marshberry.png</t>
  </si>
  <si>
    <t>https://www.myfonts.com/pt/collections/pn-marshberry-font-lettering-delights</t>
  </si>
  <si>
    <t>Halloween, Scary, Creepy, Monster, Tenacle, Hairy, Spooky, Haunted, Handwritten, Hand-written, Hand Written, Hand-crafted, Crafty, Hand-printed</t>
  </si>
  <si>
    <t>Alligony</t>
  </si>
  <si>
    <t>imagens\Alligony.png</t>
  </si>
  <si>
    <t>https://www.myfonts.com/pt/collections/alligony-font-made-deduk</t>
  </si>
  <si>
    <t>Script, Retro, Vintage, Classic, 80s, Nostalgic, Romance, Cute, Playful, Fashion, Brand Identity, Logotype, Invitation, Wedding, Birthday, Holiday, Summer, Web Font, Calligraphy, Brush</t>
  </si>
  <si>
    <t>Best Swashed</t>
  </si>
  <si>
    <t>imagens\Best_Swashed.png</t>
  </si>
  <si>
    <t>https://www.myfonts.com/pt/collections/best-swashed-font-mans-greback</t>
  </si>
  <si>
    <t>Serif, Swashes, Swash, Decorative, Swirly, Formal, Contrast, Invitation, Wedding, Monogram, Retro, Vintage, Hippie, 70s</t>
  </si>
  <si>
    <t>Stupid Sports</t>
  </si>
  <si>
    <t>imagens\Stupid_Sports.png</t>
  </si>
  <si>
    <t>https://www.myfonts.com/pt/collections/stupid-sports-font-woodcutter</t>
  </si>
  <si>
    <t>College, University, Varsity, Distort, Woodcutter, Poster, Display, Fancy</t>
  </si>
  <si>
    <t>Thannie</t>
  </si>
  <si>
    <t>Omzen Type</t>
  </si>
  <si>
    <t>imagens\Thannie.png</t>
  </si>
  <si>
    <t>https://www.myfonts.com/pt/collections/thannie-font-omzen-type</t>
  </si>
  <si>
    <t>Display Font, Serif, Logotype, Headline, Cursive, Ligature, Branding, Editorial, Typography, Display, Luxury, Typeface, Beauty, Classy, Glamour, Lavish, Title, Magazine</t>
  </si>
  <si>
    <t>Trendy Luxe</t>
  </si>
  <si>
    <t>Soft Creative</t>
  </si>
  <si>
    <t>Muhajir Akarim</t>
  </si>
  <si>
    <t>imagens\Trendy_Luxe.png</t>
  </si>
  <si>
    <t>https://www.myfonts.com/pt/collections/trendy-luxe-font-soft-creative</t>
  </si>
  <si>
    <t>Font, Elegant Fonts, Luxury Fonts, New Fonts, Serif Fonts, Vintage Fonts, Feminine Fonts, Classy Fonts, Editorial Fonts, Retro Fonts, Hot New Fonts, Popular Fonts, Best Seller Fonts, Chic Serif Fonts, Premium Fonts, Smooth Fonts, Outline Fonts, Sophisticated Fonts, Glam Fonts, Luxury Serif Font</t>
  </si>
  <si>
    <t>GC Natify</t>
  </si>
  <si>
    <t>imagens\GC_Natify.png</t>
  </si>
  <si>
    <t>https://www.myfonts.com/pt/collections/gc-natify-font-onyx-studio</t>
  </si>
  <si>
    <t>Font, Sans Serif, Modern, Branding, Neutral, Bold, Bold Font, Helvetica, Typeface, Poster, Magazine, Creative, Clean Sans, Modern Sans, Display, Variable, Grotesk, Advertising, Web, Web Font, Company, Business, Corporate, Corporate Font, Elegant, Packaging, Glyph, Minimal Font, Timeless Font, Condensed Font, Extended Font, Monoline, Headline, Startup, Editorial, Body Text Font, Print Font, Social Media Font, Brand Identity Font, Logo Font, Presentation Font, Logotype, Clean Modern Font</t>
  </si>
  <si>
    <t>Halloween Season</t>
  </si>
  <si>
    <t>imagens\Halloween_Season.png</t>
  </si>
  <si>
    <t>https://www.myfonts.com/pt/collections/halloween-season-font-mvmet</t>
  </si>
  <si>
    <t>Clothing Fonts, Vintage Horror Poster, Goosebumps, Horror Movie, Halloween, October, Pumpkin, Spooky, Creepy, Thriller, Vintage, Scary, Vampire, Trick or Treat, Old School, Ghost, Retro Horror, T-shirt, Classic Horror, Horror</t>
  </si>
  <si>
    <t>Divale Magical</t>
  </si>
  <si>
    <t>imagens\Divale_Magical.png</t>
  </si>
  <si>
    <t>https://www.myfonts.com/pt/collections/divale-magical-font-ragamkata</t>
  </si>
  <si>
    <t>Playful Font, Playful Serif, Stylish Serif, Retro Serif, Retro Font, Bold Font, Vintage Font, Vintage Serif, Branding Serif, Branding Font, Modern Font, Decorative Font, Logo Font, Beauty Font, Beauty Serif, Stylish Font, Unique Font, Unique Serif, Groovy Font, Groovy Serif</t>
  </si>
  <si>
    <t>ZP Peaberry</t>
  </si>
  <si>
    <t>imagens\ZP_Peaberry.png</t>
  </si>
  <si>
    <t>https://www.myfonts.com/pt/collections/zp-peaberry-font-lettering-delights</t>
  </si>
  <si>
    <t>Handwritten, Hand Written, Hand-written, Handwriting, Hand Writing, Hand-writing, Sans Serif, Whimsical, Youthful, Fun, Scared, Halloween, Shiver, Haunted, Scary</t>
  </si>
  <si>
    <t>ZP Spookyville</t>
  </si>
  <si>
    <t>imagens\ZP_Spookyville.png</t>
  </si>
  <si>
    <t>https://www.myfonts.com/pt/collections/zp-spookyville-font-lettering-delights</t>
  </si>
  <si>
    <t>Hand-crafted, Crafty, Halloween, Spooky, Scary, Creepy, Web, Spider Web, Webby, Huanted, Font Family, Font Duo, Fontduo, Script, Cursive</t>
  </si>
  <si>
    <t>Smooth Dreams</t>
  </si>
  <si>
    <t>imagens\Smooth_Dreams.png</t>
  </si>
  <si>
    <t>https://www.myfonts.com/pt/collections/smooth-dreams-font-letterena-studios</t>
  </si>
  <si>
    <t>Sticky Notes Font, Luxury, Script, Display, Fashion, Web, Promotion, Trend, Website, Branding, Brand, Elegant, Promo, Sticky</t>
  </si>
  <si>
    <t>Mystery Blood Italic</t>
  </si>
  <si>
    <t>imagens\Mystery_Blood_Italic.png</t>
  </si>
  <si>
    <t>https://www.myfonts.com/pt/collections/mystery-blood-italic-font-yoga-letter</t>
  </si>
  <si>
    <t>Halloween, Scream, Scary, Banner, Poster, Ghost, Display, Font, Movie, Comic, Christmas, Black Friday</t>
  </si>
  <si>
    <t>Desire Heaven</t>
  </si>
  <si>
    <t>imagens\Desire_Heaven.png</t>
  </si>
  <si>
    <t>https://www.myfonts.com/pt/collections/desire-heaven-font-letterhend</t>
  </si>
  <si>
    <t>Serif, Script, Vintage, Classic, Old School, Font Duo</t>
  </si>
  <si>
    <t>Bobber Bold &amp; Cubs Script</t>
  </si>
  <si>
    <t>imagens\Bobber_Bold_&amp;_Cubs_Script.png</t>
  </si>
  <si>
    <t>https://www.myfonts.com/pt/collections/bobber-bold-and-cubs-script-font-inumocca</t>
  </si>
  <si>
    <t>Display Font, Font Duo, Family Font, Script, Bold, Modern Font, Typography, Lettering, Chopper, Bobber, Outomotive, Outomotive Font, Magazine, Magazine Font, Logo, Badges, Interface Font, Kustom Kulture, Motorcycle, Motorcycle Font</t>
  </si>
  <si>
    <t>Keysta</t>
  </si>
  <si>
    <t>imagens\Keysta.png</t>
  </si>
  <si>
    <t>https://www.myfonts.com/pt/collections/keysta-font-drizy-font</t>
  </si>
  <si>
    <t>Display, Y2k, Modern, Futuristic, Sci-fi, Robot, Techno, Digital</t>
  </si>
  <si>
    <t>Hyper Sport</t>
  </si>
  <si>
    <t>imagens\Hyper_Sport.png</t>
  </si>
  <si>
    <t>https://www.myfonts.com/pt/collections/hyper-sport-font-nirmana-visual</t>
  </si>
  <si>
    <t>Sport, Racing, Speed, Power, Techno, Sans, Logo, Branding, Automotive, Poster, Event, Modern</t>
  </si>
  <si>
    <t>GC Volkgen</t>
  </si>
  <si>
    <t>imagens\GC_Volkgen.png</t>
  </si>
  <si>
    <t>https://www.myfonts.com/pt/collections/gc-volkgen-font-onyx-studio</t>
  </si>
  <si>
    <t>Coffee &amp; Waffle</t>
  </si>
  <si>
    <t>imagens\Coffee_&amp;_Waffle.png</t>
  </si>
  <si>
    <t>https://www.myfonts.com/pt/collections/coffee-and-waffle-font-the-native-saint-club</t>
  </si>
  <si>
    <t>Bakery, Branding Font Duo, Cafe, Coffee Shop Font, Display, Fun Retro Typeface, Handmade Script Font, Logo, Monoline, Nostalgic Font, Packaging Design Font, Playful, Poster Design Font, Retro Font, Retro Logo Font, Sans, Script, Stylish Font Duo, Typeface, Vintage</t>
  </si>
  <si>
    <t>Doggy Pipom</t>
  </si>
  <si>
    <t>imagens\Doggy_Pipom.png</t>
  </si>
  <si>
    <t>https://www.myfonts.com/pt/collections/doggy-pipom-font-yoga-letter</t>
  </si>
  <si>
    <t>Display, Cute Font, Doggy, Comic, Christmas, Halloween, Winter, Fall</t>
  </si>
  <si>
    <t>Ohbiscuitcrumbs</t>
  </si>
  <si>
    <t>imagens\Ohbiscuitcrumbs.png</t>
  </si>
  <si>
    <t>https://www.myfonts.com/pt/collections/ohbiscuitcrumbs-font-jointype</t>
  </si>
  <si>
    <t>Bold</t>
  </si>
  <si>
    <t>Nexover</t>
  </si>
  <si>
    <t>imagens\Nexover.png</t>
  </si>
  <si>
    <t>https://www.myfonts.com/pt/collections/nexover-font-ragamkata</t>
  </si>
  <si>
    <t>Expanded Font, Bold Font, Ultra Wide, Ultra Wide Font, Modern Font, Modern Sans Serif, Modern Sans, Wide Sans, Geometric Font, Tehno Font, Technology Font, Stylish Font, Minimal Font, Futuristic Font, Clean Font, Logo Font, Typeface, Display Font, Expanded Sans, Wide Font</t>
  </si>
  <si>
    <t>Parrallelogramica</t>
  </si>
  <si>
    <t>Cubo Fonts</t>
  </si>
  <si>
    <t>Florent Courtaigne</t>
  </si>
  <si>
    <t>Oct 22, 2025</t>
  </si>
  <si>
    <t>imagens\Parrallelogramica.png</t>
  </si>
  <si>
    <t>https://www.myfonts.com/pt/collections/parrallelogramica-font-cubo-fonts</t>
  </si>
  <si>
    <t>Striking, Gothic, Lettering, Geometric, Angular, Straight, Parallelogram, Contemporary, Medieval, Futurism, Alternative, Traditional, Statement</t>
  </si>
  <si>
    <t>Tasiyo</t>
  </si>
  <si>
    <t>imagens\Tasiyo.png</t>
  </si>
  <si>
    <t>https://www.myfonts.com/pt/collections/tasiyo-font-letternesia-studio</t>
  </si>
  <si>
    <t>Logo, Display, Scrip, Brandin, Pamflet, Label, Banner, Quotes, Packaging, Sosial Media, Disain, Serif, Sanserrif, Corporet, Advertasen, Headline</t>
  </si>
  <si>
    <t>Most Rather</t>
  </si>
  <si>
    <t>imagens\Most_Rather.png</t>
  </si>
  <si>
    <t>https://www.myfonts.com/pt/collections/most-rather-font-nathatype</t>
  </si>
  <si>
    <t>Vintage, Logofont, Logo, Foodlogo, Foodfont, Modern, Boldmodern, Rustic, Stylish, Display, Brand, Branding, Restaurant, Lettering, Handwritten</t>
  </si>
  <si>
    <t>Gofay Micsoty</t>
  </si>
  <si>
    <t>imagens\Gofay_Micsoty.png</t>
  </si>
  <si>
    <t>https://www.myfonts.com/pt/collections/gofay-micsoty-font-timelesstype-studio</t>
  </si>
  <si>
    <t>Futuristic, Sporty, Display, Modern, Tech, Sci-fi, Cyber, Bold, Digital, Gaming, Logo, Geometric, Sleek, Typography, Modernist, Futuristic Sporty Font, Sans Serif, Promotion</t>
  </si>
  <si>
    <t>Drigha</t>
  </si>
  <si>
    <t>imagens\Drigha.png</t>
  </si>
  <si>
    <t>https://www.myfonts.com/pt/collections/drigha-font-typebae</t>
  </si>
  <si>
    <t>Serif, Display, Retro, Vintage, Bold, Modern, Classic, 60s, 70s, Branding, Fashion, Stylish, Logo, Magazine, Playful</t>
  </si>
  <si>
    <t>Sagira Beverly</t>
  </si>
  <si>
    <t>imagens\Sagira_Beverly.png</t>
  </si>
  <si>
    <t>https://www.myfonts.com/pt/collections/sagira-beverly-font-timelesstype-studio</t>
  </si>
  <si>
    <t>Bold, Glamorous, Tall Serif, Elegant, High-Contrast, Sophisticated, Contemporary, Luxury Branding, High Fashion, Magazine Titles, Editorial Layouts, Cosmetic Packaging, Display Typography, Social Media, Product Identity</t>
  </si>
  <si>
    <t>Halloween Scream</t>
  </si>
  <si>
    <t>imagens\Halloween_Scream.png</t>
  </si>
  <si>
    <t>https://www.myfonts.com/pt/collections/halloween-scream-font-mvmet</t>
  </si>
  <si>
    <t>Decorative, Clothing Fonts, Horror Movie, Halloween, October, Pumpkin, Spooky, Creepy, Thriller, Display, Vintage, Scary, Trick or Treat, Retro, Ghost, Gore, Horror, Bloody, Gore Fonts, Metal Font</t>
  </si>
  <si>
    <t>Winter Craft</t>
  </si>
  <si>
    <t>imagens\Winter_Craft.png</t>
  </si>
  <si>
    <t>https://www.myfonts.com/pt/collections/winter-craft-font-yoga-letter</t>
  </si>
  <si>
    <t>Display, Font, Winter, Christmas, Halloween, Fall, Autumn, Valentine, Playful, Christmas Font, Halloween Font</t>
  </si>
  <si>
    <t>Fudhora Bhotman</t>
  </si>
  <si>
    <t>imagens\Fudhora_Bhotman.png</t>
  </si>
  <si>
    <t>https://www.myfonts.com/pt/collections/fudhora-bhotman-font-ayska</t>
  </si>
  <si>
    <t>Handwritten, Handwriting, Modern Font, Signature Font, Logo Font, Typography, Typeface, Logotype, Casual Script, Branding, Ligatures, Hand Lettereng, Natural, Invitations, Elegant, Script, Cursive, Chic, Swash, Social Media Post</t>
  </si>
  <si>
    <t>Rockcave</t>
  </si>
  <si>
    <t>imagens\Rockcave.png</t>
  </si>
  <si>
    <t>https://www.myfonts.com/pt/collections/rockcave-font-artisan-themes</t>
  </si>
  <si>
    <t>Rock Font, Cave Font, Stone Display, Adventure Font, Game Title Font, Prehistoric, Fantasy Font, Cartoon Display, Bold Font, 3d Font, Outline Font, Primal Font, Typeface, Gaming Font, Playful Display, Display Font, Ancient Style</t>
  </si>
  <si>
    <t>Bronill</t>
  </si>
  <si>
    <t>imagens\Bronill.png</t>
  </si>
  <si>
    <t>https://www.myfonts.com/pt/collections/bronill-font-typebae</t>
  </si>
  <si>
    <t>Display, Fun, Playful, Ligature, Bold, Logo, Cheerful, Quirky, Unique, Poster, Vintage, Cartoon, Children, Retro, Joyful</t>
  </si>
  <si>
    <t>Maline</t>
  </si>
  <si>
    <t>imagens\Maline.png</t>
  </si>
  <si>
    <t>https://www.myfonts.com/pt/collections/maline-font-gatype</t>
  </si>
  <si>
    <t>Valentine, Commercial, Circled, Poster, Cool, Legible, Modern, Masculine, Mechanical, Casual, Elegant, Retro, Headline, Magazine, Unique, Print, Workhorse, Display, Demo, Edge</t>
  </si>
  <si>
    <t>MN Brutaze</t>
  </si>
  <si>
    <t>Mantra Naga Studio</t>
  </si>
  <si>
    <t>Fredo Eka Pratama</t>
  </si>
  <si>
    <t>imagens\MN_Brutaze.png</t>
  </si>
  <si>
    <t>https://www.myfonts.com/pt/collections/mn-brutaze-font-mantra-naga-studio</t>
  </si>
  <si>
    <t>Handwritten, Handwritten Fonts, Handwritten Sans, Sans Serif, Typeface, Type Design, Typography, Brutalism, Experimental, Blurred, Condensed, Expanded</t>
  </si>
  <si>
    <t>Santa Craft</t>
  </si>
  <si>
    <t>imagens\Santa_Craft.png</t>
  </si>
  <si>
    <t>https://www.myfonts.com/pt/collections/santa-craft-font-yoga-letter</t>
  </si>
  <si>
    <t>Display, Playful, Print, Winter, Gift, Cute, Halloween, Logo, Sticker</t>
  </si>
  <si>
    <t>Ohaus</t>
  </si>
  <si>
    <t>Jinan Studio</t>
  </si>
  <si>
    <t>Andi Syahdang</t>
  </si>
  <si>
    <t>imagens\Ohaus.png</t>
  </si>
  <si>
    <t>https://www.myfonts.com/pt/collections/ohaus-font-jinan-studio</t>
  </si>
  <si>
    <t>Rough Font, Display Font, Bold Font, Textured Font, Vintage Font, Distressed Font, Retro Font, Grunge Font, Handcrafted Font, Rustic Font, Strong Font, Poster Font, Packaging Font, Sans Serif Font, Branding Font, Adventure Font, Western Font, Industrial Font, Letterpress Font, Authentic Font</t>
  </si>
  <si>
    <t>Stranded</t>
  </si>
  <si>
    <t>imagens\Stranded.png</t>
  </si>
  <si>
    <t>https://www.myfonts.com/pt/collections/stranded-font-bentype</t>
  </si>
  <si>
    <t>Y2k, Expanded Font, Bold Font, Inktrap, Display, Headline, Grotesk, Book</t>
  </si>
  <si>
    <t>Ingrovia</t>
  </si>
  <si>
    <t>imagens\Ingrovia.png</t>
  </si>
  <si>
    <t>https://www.myfonts.com/pt/collections/ingrovia-font-rndi-type-foundry</t>
  </si>
  <si>
    <t>Grotesk, Sans Serif, Book, Poster, Display, Variable, Versetyle, Compact</t>
  </si>
  <si>
    <t>XL Gravy</t>
  </si>
  <si>
    <t>XHeight Legacy</t>
  </si>
  <si>
    <t>Friedrich Bernhardt</t>
  </si>
  <si>
    <t>imagens\XL_Gravy.png</t>
  </si>
  <si>
    <t>https://www.myfonts.com/pt/collections/xl-gravy-font-xheight-legacy</t>
  </si>
  <si>
    <t>Bold, Chunky, Heavy, Fat, Thick, Wide, Big, Block, Impactful, Compressed, Display, Headline, Poster, Logo, Branding, Solid, Power, Punchy, Loud, Massive</t>
  </si>
  <si>
    <t>Raaavy</t>
  </si>
  <si>
    <t>Drawwwn</t>
  </si>
  <si>
    <t>Ryan Thomas</t>
  </si>
  <si>
    <t>imagens\Raaavy.png</t>
  </si>
  <si>
    <t>https://www.myfonts.com/pt/collections/raaavy-font-drawwwn</t>
  </si>
  <si>
    <t>Distressed, Rough, Flyer, Club, Dance Music, Rave, House, Techno, Acid, Bold, Photocopy, Print Texture, Grot, Texture, Icons, Scuzzy, Retro, Creative, Brand</t>
  </si>
  <si>
    <t>Assinatura Solaria</t>
  </si>
  <si>
    <t>imagens\Assinatura_Solaria.png</t>
  </si>
  <si>
    <t>https://www.myfonts.com/pt/collections/solaria-signature-font-pointlab</t>
  </si>
  <si>
    <t>Text, Letter, Signature, Vector, Font, Lettering, Graphic, Design, Typography, Calligraphy</t>
  </si>
  <si>
    <t>Samthing</t>
  </si>
  <si>
    <t>Risma Type</t>
  </si>
  <si>
    <t>Risma Mulyasari</t>
  </si>
  <si>
    <t>imagens\Samthing.png</t>
  </si>
  <si>
    <t>https://www.myfonts.com/pt/collections/samthing-font-risma-type</t>
  </si>
  <si>
    <t>Serif, Display, Logo, Brand, Serif Display, Modern, Timeless, Poster Film, Minimalis, Luxury, Poster, Company, Simple, Style, Elegant</t>
  </si>
  <si>
    <t>Rook Castle</t>
  </si>
  <si>
    <t>imagens\Rook_Castle.png</t>
  </si>
  <si>
    <t>https://www.myfonts.com/pt/collections/rook-castle-font-jafar07</t>
  </si>
  <si>
    <t>Decorative, Serif, Bold, Stroke, Magazine, Headlines, Branding, Modern, Logo, Editorial, Layout, Gothic, Timeless, Classy, Luxury, Elegant, Vintage, Ornate, Castle</t>
  </si>
  <si>
    <t>Firelost</t>
  </si>
  <si>
    <t>imagens\Firelost.png</t>
  </si>
  <si>
    <t>https://www.myfonts.com/pt/collections/firelost-font-artisan-themes</t>
  </si>
  <si>
    <t>Fire Font, Flame Font, Burning Font, Display Font, Rock Font, Retro Font, Vintage Font, Hot Font, Bold Display, Grunge Font, Streetwear Font, Band Poster, Comic Title, Handmade Font, Outline Font, Energetic Font, Bold Typeface, Creative Market Font, Fire Lost Font</t>
  </si>
  <si>
    <t>Voltava Script Variable</t>
  </si>
  <si>
    <t>https://www.myfonts.com/pt/collections/voltava-script-variable-font-monotype-imaging</t>
  </si>
  <si>
    <t>Berga Mont</t>
  </si>
  <si>
    <t>imagens\Berga_Mont.png</t>
  </si>
  <si>
    <t>https://www.myfonts.com/pt/collections/berga-mont-font-alit-design</t>
  </si>
  <si>
    <t>Blackletter, Script, Tattoo, Dark, Modern</t>
  </si>
  <si>
    <t>dom</t>
  </si>
  <si>
    <t>seg</t>
  </si>
  <si>
    <t>ter</t>
  </si>
  <si>
    <t>qua</t>
  </si>
  <si>
    <t>qui</t>
  </si>
  <si>
    <t>sex</t>
  </si>
  <si>
    <t>sab</t>
  </si>
  <si>
    <t>Mais Cara%</t>
  </si>
  <si>
    <t>Quem lançou Mais*</t>
  </si>
  <si>
    <t>Mais Pesos</t>
  </si>
  <si>
    <t>Média de pesos</t>
  </si>
  <si>
    <t>Dia com + Lançamentos</t>
  </si>
  <si>
    <t>Mais Barata%</t>
  </si>
  <si>
    <t>$ + Barata/Ind</t>
  </si>
  <si>
    <t>Média de %</t>
  </si>
  <si>
    <t>Média de $ Ind</t>
  </si>
  <si>
    <t>Dia com - Lançamentos</t>
  </si>
  <si>
    <t>Dolar Hoje</t>
  </si>
  <si>
    <t>$ + caro/Ind</t>
  </si>
  <si>
    <t>Pacote + Barato</t>
  </si>
  <si>
    <t>Pacote + Caro</t>
  </si>
  <si>
    <t>Média de Pacotes</t>
  </si>
  <si>
    <t>Média de Lançamentos</t>
  </si>
  <si>
    <t xml:space="preserve">A fonte com o maior Melhor Valor Por Estilo é </t>
  </si>
  <si>
    <t xml:space="preserve">, e custa </t>
  </si>
  <si>
    <t xml:space="preserve">$ </t>
  </si>
  <si>
    <t>.</t>
  </si>
  <si>
    <t xml:space="preserve">A fonte com o menor Melhor Valor Por Estilo é </t>
  </si>
  <si>
    <t xml:space="preserve">A média de melhor valor comprando em pacote é </t>
  </si>
  <si>
    <t xml:space="preserve">A fundidora que lançou mais fontes foi a </t>
  </si>
  <si>
    <t xml:space="preserve"> com o total de </t>
  </si>
  <si>
    <t xml:space="preserve"> fontes lançadas.</t>
  </si>
  <si>
    <t xml:space="preserve"> É a fonte com o maior número de estilos </t>
  </si>
  <si>
    <t xml:space="preserve"> estilos lançados.</t>
  </si>
  <si>
    <t xml:space="preserve">Superando a média de </t>
  </si>
  <si>
    <t xml:space="preserve"> por fonte no geral.</t>
  </si>
  <si>
    <t xml:space="preserve">O dia com mais lançamentos consecutivos teve </t>
  </si>
  <si>
    <t xml:space="preserve"> fontes lançadas </t>
  </si>
  <si>
    <t xml:space="preserve">a média é de </t>
  </si>
  <si>
    <t xml:space="preserve">Ainda sobre preços o pacote mais caro custa </t>
  </si>
  <si>
    <t xml:space="preserve">e se chama </t>
  </si>
  <si>
    <t xml:space="preserve"> com </t>
  </si>
  <si>
    <t xml:space="preserve">O pacote com o menor preço custa </t>
  </si>
  <si>
    <t xml:space="preserve"> e se chama </t>
  </si>
  <si>
    <t xml:space="preserve">O peso individual mais barato custa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</si>
</sst>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R$-416]\ * #,##0.00_-;\-[$R$-416]\ * #,##0.00_-;_-[$R$-416]\ * &quot;-&quot;??_-;_-@_-"/>
    <numFmt numFmtId="165" formatCode="[$R$-416]\ #,##0.00"/>
    <numFmt numFmtId="166" formatCode="&quot;R$&quot;\ #,##0.00"/>
    <numFmt numFmtId="167" formatCode="_-[$$-409]* #,##0.00_ ;_-[$$-409]* \-#,##0.00\ ;_-[$$-409]* &quot;-&quot;??_ ;_-@_ "/>
    <numFmt numFmtId="168" formatCode="_([$$-409]* #,##0.00_);_([$$-409]* \(#,##0.00\);_([$$-409]* &quot;-&quot;??_);_(@_)"/>
  </numFmts>
  <fonts count="11">
    <font>
      <sz val="11"/>
      <color theme="1"/>
      <name val="Calibri"/>
      <family val="2"/>
      <scheme val="minor"/>
    </font>
    <font>
      <b/>
      <sz val="11"/>
      <color theme="0"/>
      <name val="Calibri"/>
    </font>
    <font>
      <sz val="11"/>
      <color theme="0"/>
      <name val="Calibri"/>
      <family val="2"/>
      <scheme val="minor"/>
    </font>
    <font>
      <sz val="11"/>
      <color rgb="FF000000"/>
      <name val="Calibri"/>
      <family val="2"/>
      <scheme val="minor"/>
    </font>
    <font>
      <sz val="11"/>
      <color rgb="FF242424"/>
      <name val="Consolas"/>
      <family val="3"/>
    </font>
    <font>
      <b/>
      <sz val="11"/>
      <name val="Calibri"/>
      <family val="2"/>
    </font>
    <font>
      <b/>
      <sz val="11"/>
      <color theme="8"/>
      <name val="Calibri"/>
      <family val="2"/>
      <scheme val="minor"/>
    </font>
    <font>
      <b/>
      <sz val="11"/>
      <color theme="1"/>
      <name val="Calibri"/>
      <family val="2"/>
      <scheme val="minor"/>
    </font>
    <font>
      <b/>
      <sz val="11"/>
      <color rgb="FFC00000"/>
      <name val="Calibri"/>
      <family val="2"/>
      <scheme val="minor"/>
    </font>
    <font>
      <b/>
      <sz val="11"/>
      <color theme="6"/>
      <name val="Calibri"/>
      <family val="2"/>
      <scheme val="minor"/>
    </font>
    <font>
      <sz val="10"/>
      <color rgb="FF001D35"/>
      <name val="Arial"/>
      <family val="2"/>
    </font>
  </fonts>
  <fills count="6">
    <fill>
      <patternFill patternType="none"/>
    </fill>
    <fill>
      <patternFill patternType="gray125"/>
    </fill>
    <fill>
      <patternFill patternType="solid">
        <fgColor rgb="FFD9D9D9"/>
        <bgColor rgb="FFD9D9D9"/>
      </patternFill>
    </fill>
    <fill>
      <patternFill patternType="solid">
        <fgColor theme="6" tint="0.79998168889431442"/>
        <bgColor indexed="64"/>
      </patternFill>
    </fill>
    <fill>
      <patternFill patternType="solid">
        <fgColor theme="0" tint="-0.14999847407452621"/>
        <bgColor theme="0" tint="-0.14999847407452621"/>
      </patternFill>
    </fill>
    <fill>
      <patternFill patternType="solid">
        <fgColor theme="0" tint="-0.34998626667073579"/>
        <bgColor theme="0" tint="-0.34998626667073579"/>
      </patternFill>
    </fill>
  </fills>
  <borders count="13">
    <border>
      <left/>
      <right/>
      <top/>
      <bottom/>
      <diagonal/>
    </border>
    <border>
      <left style="thin">
        <color auto="1"/>
      </left>
      <right style="thin">
        <color auto="1"/>
      </right>
      <top/>
      <bottom style="thin">
        <color auto="1"/>
      </bottom>
      <diagonal/>
    </border>
    <border>
      <left/>
      <right style="thin">
        <color theme="1"/>
      </right>
      <top style="thin">
        <color rgb="FF000000"/>
      </top>
      <bottom style="thin">
        <color rgb="FF000000"/>
      </bottom>
      <diagonal/>
    </border>
    <border>
      <left/>
      <right/>
      <top style="thin">
        <color theme="1"/>
      </top>
      <bottom style="thin">
        <color theme="1"/>
      </bottom>
      <diagonal/>
    </border>
    <border>
      <left style="thin">
        <color auto="1"/>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top"/>
    </xf>
    <xf numFmtId="0" fontId="2" fillId="0" borderId="0" xfId="0" applyFont="1"/>
    <xf numFmtId="164" fontId="0" fillId="0" borderId="0" xfId="0" applyNumberFormat="1"/>
    <xf numFmtId="165" fontId="0" fillId="0" borderId="0" xfId="0" applyNumberFormat="1"/>
    <xf numFmtId="14" fontId="3" fillId="2" borderId="2" xfId="0" applyNumberFormat="1" applyFont="1" applyFill="1" applyBorder="1"/>
    <xf numFmtId="0" fontId="4" fillId="0" borderId="0" xfId="0" applyFont="1"/>
    <xf numFmtId="14" fontId="0" fillId="0" borderId="0" xfId="0" applyNumberFormat="1"/>
    <xf numFmtId="0" fontId="0" fillId="0" borderId="0" xfId="0" applyAlignment="1">
      <alignment horizontal="center"/>
    </xf>
    <xf numFmtId="1" fontId="4" fillId="0" borderId="0" xfId="0" applyNumberFormat="1" applyFont="1"/>
    <xf numFmtId="0" fontId="5" fillId="0" borderId="0" xfId="0" applyFont="1" applyAlignment="1">
      <alignment horizontal="center" vertical="top"/>
    </xf>
    <xf numFmtId="0" fontId="6" fillId="0" borderId="0" xfId="0" applyFont="1"/>
    <xf numFmtId="166" fontId="0" fillId="0" borderId="4" xfId="0" applyNumberFormat="1" applyBorder="1"/>
    <xf numFmtId="2" fontId="0" fillId="0" borderId="4" xfId="0" applyNumberFormat="1" applyBorder="1"/>
    <xf numFmtId="2" fontId="0" fillId="0" borderId="0" xfId="0" applyNumberFormat="1"/>
    <xf numFmtId="1" fontId="0" fillId="0" borderId="0" xfId="0" applyNumberFormat="1"/>
    <xf numFmtId="0" fontId="7" fillId="0" borderId="0" xfId="0" applyFont="1"/>
    <xf numFmtId="0" fontId="8" fillId="0" borderId="0" xfId="0" applyFont="1"/>
    <xf numFmtId="167" fontId="0" fillId="0" borderId="0" xfId="0" applyNumberFormat="1"/>
    <xf numFmtId="164" fontId="0" fillId="3" borderId="0" xfId="0" applyNumberFormat="1" applyFill="1"/>
    <xf numFmtId="0" fontId="7" fillId="3" borderId="0" xfId="0" applyFont="1" applyFill="1"/>
    <xf numFmtId="0" fontId="7" fillId="0" borderId="0" xfId="0" applyFont="1" applyAlignment="1">
      <alignment horizontal="center"/>
    </xf>
    <xf numFmtId="0" fontId="7" fillId="0" borderId="0" xfId="0" applyFont="1" applyAlignment="1">
      <alignment horizontal="center" vertical="center"/>
    </xf>
    <xf numFmtId="0" fontId="9" fillId="0" borderId="0" xfId="0" applyFont="1"/>
    <xf numFmtId="0" fontId="0" fillId="0" borderId="4" xfId="0" applyBorder="1"/>
    <xf numFmtId="0" fontId="10" fillId="0" borderId="0" xfId="0" applyFont="1" applyAlignment="1">
      <alignment horizontal="center"/>
    </xf>
    <xf numFmtId="0" fontId="0" fillId="0" borderId="3" xfId="0" applyBorder="1"/>
    <xf numFmtId="168" fontId="0" fillId="0" borderId="4" xfId="0" applyNumberFormat="1" applyBorder="1"/>
    <xf numFmtId="168" fontId="0" fillId="0" borderId="0" xfId="0" applyNumberFormat="1"/>
    <xf numFmtId="0" fontId="0" fillId="4" borderId="5" xfId="0" applyFill="1" applyBorder="1"/>
    <xf numFmtId="0" fontId="0" fillId="4" borderId="3" xfId="0" applyFill="1" applyBorder="1"/>
    <xf numFmtId="164" fontId="0" fillId="4" borderId="3" xfId="0" applyNumberFormat="1" applyFill="1" applyBorder="1"/>
    <xf numFmtId="0" fontId="0" fillId="0" borderId="5" xfId="0" applyBorder="1"/>
    <xf numFmtId="164" fontId="0" fillId="0" borderId="3" xfId="0" applyNumberFormat="1" applyBorder="1"/>
    <xf numFmtId="165" fontId="0" fillId="4" borderId="3" xfId="0" applyNumberFormat="1" applyFill="1" applyBorder="1"/>
    <xf numFmtId="165" fontId="0" fillId="0" borderId="3" xfId="0" applyNumberFormat="1" applyBorder="1"/>
    <xf numFmtId="14" fontId="0" fillId="4" borderId="3" xfId="0" applyNumberFormat="1" applyFill="1" applyBorder="1"/>
    <xf numFmtId="14" fontId="0" fillId="0" borderId="3" xfId="0" applyNumberFormat="1" applyBorder="1"/>
    <xf numFmtId="0" fontId="0" fillId="4" borderId="6" xfId="0" applyFill="1" applyBorder="1" applyAlignment="1">
      <alignment horizontal="center"/>
    </xf>
    <xf numFmtId="0" fontId="0" fillId="0" borderId="6" xfId="0" applyBorder="1" applyAlignment="1">
      <alignment horizontal="center"/>
    </xf>
    <xf numFmtId="0" fontId="0" fillId="5" borderId="7" xfId="0" applyFill="1" applyBorder="1"/>
    <xf numFmtId="0" fontId="0" fillId="5" borderId="8" xfId="0" applyFill="1" applyBorder="1"/>
    <xf numFmtId="164" fontId="0" fillId="5" borderId="8" xfId="0" applyNumberFormat="1" applyFill="1" applyBorder="1"/>
    <xf numFmtId="0" fontId="0" fillId="4" borderId="7" xfId="0" applyFill="1" applyBorder="1"/>
    <xf numFmtId="0" fontId="0" fillId="4" borderId="8" xfId="0" applyFill="1" applyBorder="1"/>
    <xf numFmtId="164" fontId="0" fillId="4" borderId="8" xfId="0" applyNumberFormat="1" applyFill="1" applyBorder="1"/>
    <xf numFmtId="165" fontId="0" fillId="5" borderId="8" xfId="0" applyNumberFormat="1" applyFill="1" applyBorder="1"/>
    <xf numFmtId="165" fontId="0" fillId="4" borderId="8" xfId="0" applyNumberFormat="1" applyFill="1" applyBorder="1"/>
    <xf numFmtId="14" fontId="0" fillId="5" borderId="8" xfId="0" applyNumberFormat="1" applyFill="1" applyBorder="1"/>
    <xf numFmtId="14" fontId="0" fillId="4" borderId="8" xfId="0" applyNumberFormat="1" applyFill="1" applyBorder="1"/>
    <xf numFmtId="0" fontId="0" fillId="5" borderId="9" xfId="0" applyFill="1" applyBorder="1" applyAlignment="1">
      <alignment horizontal="center"/>
    </xf>
    <xf numFmtId="0" fontId="0" fillId="4" borderId="9" xfId="0" applyFill="1" applyBorder="1" applyAlignment="1">
      <alignment horizontal="center"/>
    </xf>
    <xf numFmtId="0" fontId="0" fillId="0" borderId="10" xfId="0" applyBorder="1"/>
    <xf numFmtId="0" fontId="0" fillId="0" borderId="11" xfId="0" applyBorder="1"/>
    <xf numFmtId="164" fontId="0" fillId="0" borderId="11" xfId="0" applyNumberFormat="1" applyBorder="1"/>
    <xf numFmtId="165" fontId="0" fillId="0" borderId="11" xfId="0" applyNumberFormat="1" applyBorder="1"/>
    <xf numFmtId="14" fontId="0" fillId="0" borderId="11" xfId="0" applyNumberFormat="1" applyBorder="1"/>
    <xf numFmtId="0" fontId="0" fillId="0" borderId="12" xfId="0" applyBorder="1" applyAlignment="1">
      <alignment horizontal="center"/>
    </xf>
    <xf numFmtId="0" fontId="0" fillId="4" borderId="10" xfId="0" applyFill="1" applyBorder="1"/>
    <xf numFmtId="0" fontId="0" fillId="4" borderId="11" xfId="0" applyFill="1" applyBorder="1"/>
    <xf numFmtId="164" fontId="0" fillId="4" borderId="11" xfId="0" applyNumberFormat="1" applyFill="1" applyBorder="1"/>
    <xf numFmtId="165" fontId="0" fillId="4" borderId="11" xfId="0" applyNumberFormat="1" applyFill="1" applyBorder="1"/>
    <xf numFmtId="14" fontId="0" fillId="4" borderId="11" xfId="0" applyNumberFormat="1" applyFill="1" applyBorder="1"/>
    <xf numFmtId="0" fontId="0" fillId="4" borderId="12" xfId="0" applyFill="1" applyBorder="1" applyAlignment="1">
      <alignment horizontal="center"/>
    </xf>
  </cellXfs>
  <cellStyles count="1">
    <cellStyle name="Normal" xfId="0" builtinId="0"/>
  </cellStyles>
  <dxfs count="10">
    <dxf>
      <numFmt numFmtId="0" formatCode="General"/>
      <alignment horizontal="center"/>
    </dxf>
    <dxf>
      <alignment horizontal="center" vertical="bottom" textRotation="0" wrapText="0" indent="0" justifyLastLine="0" shrinkToFit="0" readingOrder="0"/>
    </dxf>
    <dxf>
      <alignment horizontal="center"/>
    </dxf>
    <dxf>
      <numFmt numFmtId="19" formatCode="m/d/yyyy"/>
    </dxf>
    <dxf>
      <numFmt numFmtId="165" formatCode="[$R$-416]\ #,##0.00"/>
    </dxf>
    <dxf>
      <numFmt numFmtId="164" formatCode="_-[$R$-416]\ * #,##0.00_-;\-[$R$-416]\ * #,##0.00_-;_-[$R$-416]\ * &quot;-&quot;??_-;_-@_-"/>
    </dxf>
    <dxf>
      <numFmt numFmtId="164" formatCode="_-[$R$-416]\ * #,##0.00_-;\-[$R$-416]\ * #,##0.00_-;_-[$R$-416]\ * &quot;-&quot;??_-;_-@_-"/>
    </dxf>
    <dxf>
      <border outline="0">
        <bottom style="thin">
          <color auto="1"/>
        </bottom>
      </border>
    </dxf>
    <dxf>
      <border outline="0">
        <top style="thin">
          <color auto="1"/>
        </top>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2F6F12-74D2-41E1-9907-B35E9BF7A8AF}" name="Tabela1" displayName="Tabela1" ref="A1:N805" totalsRowShown="0" headerRowDxfId="9" headerRowBorderDxfId="7" tableBorderDxfId="8">
  <autoFilter ref="A1:N805" xr:uid="{5A2F6F12-74D2-41E1-9907-B35E9BF7A8AF}"/>
  <tableColumns count="14">
    <tableColumn id="1" xr3:uid="{E4FF9185-2C64-4D3A-9007-56283BDF669B}" name="Nome da fonte"/>
    <tableColumn id="2" xr3:uid="{0F248066-D9E5-4F05-AA1B-D5FC6D16FBF0}" name="Fundidora"/>
    <tableColumn id="3" xr3:uid="{D6D32EBF-9F70-4077-A83C-C3C523C8360D}" name="Designer"/>
    <tableColumn id="4" xr3:uid="{55618E00-EB31-4A3C-9A56-171FE7984ECA}" name="Preço Individual" dataDxfId="6"/>
    <tableColumn id="5" xr3:uid="{DDA0154C-EDC5-49F4-B396-C677F8716321}" name="Preço Completo" dataDxfId="5"/>
    <tableColumn id="6" xr3:uid="{D1CDFA30-A016-419E-AA82-39E5248BC047}" name="Quantidade de Estilos"/>
    <tableColumn id="7" xr3:uid="{FE982437-1D09-42A9-98CD-5B44C286D082}" name="PreçoMin/Font" dataDxfId="4">
      <calculatedColumnFormula>E2/F2</calculatedColumnFormula>
    </tableColumn>
    <tableColumn id="8" xr3:uid="{891F419A-4FE7-4DAF-916B-DC5731354499}" name="Estreia MyFonts" dataDxfId="3"/>
    <tableColumn id="9" xr3:uid="{60D88CC6-A7FC-4E29-979B-4DC669560A3D}" name="Imagem"/>
    <tableColumn id="10" xr3:uid="{9069AD07-8AE2-4D9B-87EE-DF9273F2D3FF}" name="Link"/>
    <tableColumn id="11" xr3:uid="{AC734FA7-EDB2-4B35-88F8-92E5B7635C6D}" name="Tags"/>
    <tableColumn id="12" xr3:uid="{3D120B14-E556-4D54-86FD-18059A10717D}" name="Variable" dataDxfId="2"/>
    <tableColumn id="14" xr3:uid="{49C29413-DC01-4004-A965-C1EA2C0E8C57}" name="Lançamentos/Foundrys" dataDxfId="1">
      <calculatedColumnFormula>COUNTIF($B$1:$B$1191, B2)</calculatedColumnFormula>
    </tableColumn>
    <tableColumn id="13" xr3:uid="{BC1B87C5-42B0-4836-A459-F75A41B2E5F3}" name="Lançamentos/Dia" dataDxfId="0">
      <calculatedColumnFormula>COUNTIF($H$2:$H$1181, H2)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0"/>
  <sheetViews>
    <sheetView topLeftCell="A505" workbookViewId="0">
      <selection activeCell="A2" sqref="A2"/>
    </sheetView>
  </sheetViews>
  <sheetFormatPr defaultColWidth="9.140625" defaultRowHeight="15"/>
  <cols>
    <col min="1" max="1" width="25.140625" bestFit="1" customWidth="1"/>
    <col min="2" max="2" width="23.85546875" bestFit="1" customWidth="1"/>
    <col min="3" max="3" width="19.7109375" bestFit="1" customWidth="1"/>
    <col min="4" max="4" width="17.85546875" bestFit="1" customWidth="1"/>
    <col min="5" max="5" width="17.7109375" bestFit="1" customWidth="1"/>
    <col min="6" max="6" width="22.28515625" bestFit="1" customWidth="1"/>
    <col min="7" max="7" width="17" bestFit="1" customWidth="1"/>
    <col min="8" max="8" width="17.85546875" bestFit="1" customWidth="1"/>
    <col min="9" max="9" width="38.7109375" hidden="1" customWidth="1"/>
    <col min="10" max="10" width="26" hidden="1" customWidth="1"/>
    <col min="11" max="11" width="255.7109375" hidden="1" customWidth="1"/>
    <col min="12" max="12" width="13.7109375" style="8" customWidth="1"/>
    <col min="13" max="13" width="27.85546875" style="8" customWidth="1"/>
    <col min="14" max="14" width="20.5703125" customWidth="1"/>
  </cols>
  <sheetData>
    <row r="1" spans="1:15" s="2"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s="3">
        <v>108.34</v>
      </c>
      <c r="E2" s="3">
        <v>541.72</v>
      </c>
      <c r="F2">
        <v>6</v>
      </c>
      <c r="G2" s="4">
        <f>E2/F2</f>
        <v>90.286666666666676</v>
      </c>
      <c r="H2" s="7" t="s">
        <v>18</v>
      </c>
      <c r="I2" t="s">
        <v>19</v>
      </c>
      <c r="J2" t="s">
        <v>20</v>
      </c>
      <c r="K2" t="s">
        <v>21</v>
      </c>
      <c r="L2" s="8" t="s">
        <v>22</v>
      </c>
      <c r="M2" s="8">
        <f>COUNTIF($B$1:$B$1191, B2)</f>
        <v>6</v>
      </c>
      <c r="N2">
        <f>COUNTIF($H$2:$H$1181, H2)</f>
        <v>38</v>
      </c>
    </row>
    <row r="3" spans="1:15">
      <c r="A3" t="s">
        <v>23</v>
      </c>
      <c r="B3" t="s">
        <v>16</v>
      </c>
      <c r="C3" t="s">
        <v>17</v>
      </c>
      <c r="D3" s="3">
        <v>108.34</v>
      </c>
      <c r="E3" s="3">
        <v>541.72</v>
      </c>
      <c r="F3">
        <v>6</v>
      </c>
      <c r="G3" s="4">
        <f>E3/F3</f>
        <v>90.286666666666676</v>
      </c>
      <c r="H3" s="7" t="s">
        <v>18</v>
      </c>
      <c r="I3" t="s">
        <v>24</v>
      </c>
      <c r="J3" t="s">
        <v>25</v>
      </c>
      <c r="K3" t="s">
        <v>26</v>
      </c>
      <c r="L3" s="8" t="s">
        <v>22</v>
      </c>
      <c r="M3" s="8">
        <f>COUNTIF($B$1:$B$1191, B3)</f>
        <v>6</v>
      </c>
      <c r="N3">
        <f>COUNTIF($H$2:$H$1181, H3)</f>
        <v>38</v>
      </c>
    </row>
    <row r="4" spans="1:15">
      <c r="A4" t="s">
        <v>27</v>
      </c>
      <c r="B4" t="s">
        <v>28</v>
      </c>
      <c r="C4" t="s">
        <v>29</v>
      </c>
      <c r="D4" s="3">
        <v>81.260000000000005</v>
      </c>
      <c r="E4" s="3">
        <v>135.43</v>
      </c>
      <c r="F4">
        <v>2</v>
      </c>
      <c r="G4" s="4">
        <f>E4/F4</f>
        <v>67.715000000000003</v>
      </c>
      <c r="H4" s="7" t="s">
        <v>18</v>
      </c>
      <c r="I4" t="s">
        <v>30</v>
      </c>
      <c r="J4" t="s">
        <v>31</v>
      </c>
      <c r="K4" t="s">
        <v>32</v>
      </c>
      <c r="L4" s="8" t="s">
        <v>22</v>
      </c>
      <c r="M4" s="8">
        <f>COUNTIF($B$1:$B$1191, B4)</f>
        <v>2</v>
      </c>
      <c r="N4">
        <f>COUNTIF($H$2:$H$1181, H4)</f>
        <v>38</v>
      </c>
    </row>
    <row r="5" spans="1:15">
      <c r="A5" t="s">
        <v>33</v>
      </c>
      <c r="B5" t="s">
        <v>16</v>
      </c>
      <c r="C5" t="s">
        <v>17</v>
      </c>
      <c r="D5" s="3">
        <v>108.34</v>
      </c>
      <c r="E5" s="3">
        <v>189.6</v>
      </c>
      <c r="F5">
        <v>2</v>
      </c>
      <c r="G5" s="4">
        <f>E5/F5</f>
        <v>94.8</v>
      </c>
      <c r="H5" s="7" t="s">
        <v>18</v>
      </c>
      <c r="I5" t="s">
        <v>34</v>
      </c>
      <c r="J5" t="s">
        <v>35</v>
      </c>
      <c r="K5" t="s">
        <v>26</v>
      </c>
      <c r="L5" s="8" t="s">
        <v>22</v>
      </c>
      <c r="M5" s="8">
        <f>COUNTIF($B$1:$B$1191, B5)</f>
        <v>6</v>
      </c>
      <c r="N5">
        <f>COUNTIF($H$2:$H$1181, H5)</f>
        <v>38</v>
      </c>
    </row>
    <row r="6" spans="1:15">
      <c r="A6" t="s">
        <v>36</v>
      </c>
      <c r="B6" t="s">
        <v>37</v>
      </c>
      <c r="C6" t="s">
        <v>38</v>
      </c>
      <c r="D6" s="3">
        <v>135.43</v>
      </c>
      <c r="E6" s="3">
        <v>135.43</v>
      </c>
      <c r="F6">
        <v>1</v>
      </c>
      <c r="G6" s="4">
        <f>E6/F6</f>
        <v>135.43</v>
      </c>
      <c r="H6" s="7" t="s">
        <v>18</v>
      </c>
      <c r="I6" t="s">
        <v>39</v>
      </c>
      <c r="J6" t="s">
        <v>40</v>
      </c>
      <c r="K6" t="s">
        <v>41</v>
      </c>
      <c r="L6" s="8" t="s">
        <v>22</v>
      </c>
      <c r="M6" s="8">
        <f>COUNTIF($B$1:$B$1191, B6)</f>
        <v>11</v>
      </c>
      <c r="N6">
        <f>COUNTIF($H$2:$H$1181, H6)</f>
        <v>38</v>
      </c>
    </row>
    <row r="7" spans="1:15">
      <c r="A7" t="s">
        <v>42</v>
      </c>
      <c r="B7" t="s">
        <v>43</v>
      </c>
      <c r="C7" t="s">
        <v>44</v>
      </c>
      <c r="D7" s="3">
        <v>54.17</v>
      </c>
      <c r="E7" s="3">
        <v>54.17</v>
      </c>
      <c r="F7">
        <v>1</v>
      </c>
      <c r="G7" s="4">
        <f>E7/F7</f>
        <v>54.17</v>
      </c>
      <c r="H7" s="7" t="s">
        <v>18</v>
      </c>
      <c r="I7" t="s">
        <v>45</v>
      </c>
      <c r="J7" t="s">
        <v>46</v>
      </c>
      <c r="K7" t="s">
        <v>47</v>
      </c>
      <c r="L7" s="8" t="s">
        <v>22</v>
      </c>
      <c r="M7" s="8">
        <f>COUNTIF($B$1:$B$1191, B7)</f>
        <v>3</v>
      </c>
      <c r="N7">
        <f>COUNTIF($H$2:$H$1181, H7)</f>
        <v>38</v>
      </c>
    </row>
    <row r="8" spans="1:15">
      <c r="A8" t="s">
        <v>48</v>
      </c>
      <c r="B8" t="s">
        <v>49</v>
      </c>
      <c r="C8" t="s">
        <v>50</v>
      </c>
      <c r="D8" s="3">
        <v>102.93</v>
      </c>
      <c r="E8" s="3">
        <v>124.6</v>
      </c>
      <c r="F8">
        <v>2</v>
      </c>
      <c r="G8" s="4">
        <f>E8/F8</f>
        <v>62.3</v>
      </c>
      <c r="H8" s="7" t="s">
        <v>18</v>
      </c>
      <c r="I8" t="s">
        <v>51</v>
      </c>
      <c r="J8" t="s">
        <v>52</v>
      </c>
      <c r="K8" t="s">
        <v>53</v>
      </c>
      <c r="L8" s="8" t="s">
        <v>22</v>
      </c>
      <c r="M8" s="8">
        <f>COUNTIF($B$1:$B$1191, B8)</f>
        <v>15</v>
      </c>
      <c r="N8">
        <f>COUNTIF($H$2:$H$1181, H8)</f>
        <v>38</v>
      </c>
    </row>
    <row r="9" spans="1:15">
      <c r="A9" t="s">
        <v>54</v>
      </c>
      <c r="B9" t="s">
        <v>43</v>
      </c>
      <c r="C9" t="s">
        <v>44</v>
      </c>
      <c r="D9" s="3">
        <v>54.17</v>
      </c>
      <c r="E9" s="3">
        <v>54.17</v>
      </c>
      <c r="F9">
        <v>1</v>
      </c>
      <c r="G9" s="4">
        <f>E9/F9</f>
        <v>54.17</v>
      </c>
      <c r="H9" s="7" t="s">
        <v>18</v>
      </c>
      <c r="I9" t="s">
        <v>55</v>
      </c>
      <c r="J9" t="s">
        <v>56</v>
      </c>
      <c r="K9" t="s">
        <v>57</v>
      </c>
      <c r="L9" s="8" t="s">
        <v>22</v>
      </c>
      <c r="M9" s="8">
        <f>COUNTIF($B$1:$B$1191, B9)</f>
        <v>3</v>
      </c>
      <c r="N9">
        <f>COUNTIF($H$2:$H$1181, H9)</f>
        <v>38</v>
      </c>
    </row>
    <row r="10" spans="1:15">
      <c r="A10" t="s">
        <v>58</v>
      </c>
      <c r="B10" t="s">
        <v>59</v>
      </c>
      <c r="C10" t="s">
        <v>60</v>
      </c>
      <c r="D10" s="3">
        <v>113.76</v>
      </c>
      <c r="E10" s="3">
        <v>113.76</v>
      </c>
      <c r="F10">
        <v>1</v>
      </c>
      <c r="G10" s="4">
        <f>E10/F10</f>
        <v>113.76</v>
      </c>
      <c r="H10" s="7" t="s">
        <v>18</v>
      </c>
      <c r="I10" t="s">
        <v>61</v>
      </c>
      <c r="J10" t="s">
        <v>62</v>
      </c>
      <c r="K10" t="s">
        <v>63</v>
      </c>
      <c r="L10" s="8" t="s">
        <v>22</v>
      </c>
      <c r="M10" s="8">
        <f>COUNTIF($B$1:$B$1191, B10)</f>
        <v>1</v>
      </c>
      <c r="N10">
        <f>COUNTIF($H$2:$H$1181, H10)</f>
        <v>38</v>
      </c>
    </row>
    <row r="11" spans="1:15">
      <c r="A11" t="s">
        <v>64</v>
      </c>
      <c r="B11" t="s">
        <v>65</v>
      </c>
      <c r="C11" t="s">
        <v>66</v>
      </c>
      <c r="D11" s="3">
        <v>92.09</v>
      </c>
      <c r="E11" s="3">
        <v>102.93</v>
      </c>
      <c r="F11">
        <v>2</v>
      </c>
      <c r="G11" s="4">
        <f>E11/F11</f>
        <v>51.465000000000003</v>
      </c>
      <c r="H11" s="7" t="s">
        <v>18</v>
      </c>
      <c r="I11" t="s">
        <v>67</v>
      </c>
      <c r="J11" t="s">
        <v>68</v>
      </c>
      <c r="K11" t="s">
        <v>69</v>
      </c>
      <c r="L11" s="8" t="s">
        <v>22</v>
      </c>
      <c r="M11" s="8">
        <f>COUNTIF($B$1:$B$1191, B11)</f>
        <v>9</v>
      </c>
      <c r="N11">
        <f>COUNTIF($H$2:$H$1181, H11)</f>
        <v>38</v>
      </c>
    </row>
    <row r="12" spans="1:15">
      <c r="A12" t="s">
        <v>70</v>
      </c>
      <c r="B12" t="s">
        <v>71</v>
      </c>
      <c r="C12" t="s">
        <v>72</v>
      </c>
      <c r="D12" s="3">
        <v>48.75</v>
      </c>
      <c r="E12" s="3">
        <v>48.75</v>
      </c>
      <c r="F12">
        <v>1</v>
      </c>
      <c r="G12" s="4">
        <f>E12/F12</f>
        <v>48.75</v>
      </c>
      <c r="H12" s="7" t="s">
        <v>18</v>
      </c>
      <c r="I12" t="s">
        <v>73</v>
      </c>
      <c r="J12" t="s">
        <v>74</v>
      </c>
      <c r="K12" t="s">
        <v>75</v>
      </c>
      <c r="L12" s="8" t="s">
        <v>22</v>
      </c>
      <c r="M12" s="8">
        <f>COUNTIF($B$1:$B$1191, B12)</f>
        <v>3</v>
      </c>
      <c r="N12">
        <f>COUNTIF($H$2:$H$1181, H12)</f>
        <v>38</v>
      </c>
    </row>
    <row r="13" spans="1:15">
      <c r="A13" t="s">
        <v>76</v>
      </c>
      <c r="B13" t="s">
        <v>77</v>
      </c>
      <c r="C13" t="s">
        <v>77</v>
      </c>
      <c r="D13" s="3">
        <v>54.17</v>
      </c>
      <c r="E13" s="3">
        <v>54.17</v>
      </c>
      <c r="F13">
        <v>1</v>
      </c>
      <c r="G13" s="4">
        <f>E13/F13</f>
        <v>54.17</v>
      </c>
      <c r="H13" s="7" t="s">
        <v>18</v>
      </c>
      <c r="I13" t="s">
        <v>78</v>
      </c>
      <c r="J13" t="s">
        <v>79</v>
      </c>
      <c r="K13" t="s">
        <v>80</v>
      </c>
      <c r="L13" s="8" t="s">
        <v>22</v>
      </c>
      <c r="M13" s="8">
        <f>COUNTIF($B$1:$B$1191, B13)</f>
        <v>1</v>
      </c>
      <c r="N13">
        <f>COUNTIF($H$2:$H$1181, H13)</f>
        <v>38</v>
      </c>
    </row>
    <row r="14" spans="1:15">
      <c r="A14" t="s">
        <v>81</v>
      </c>
      <c r="B14" t="s">
        <v>82</v>
      </c>
      <c r="C14" t="s">
        <v>83</v>
      </c>
      <c r="D14" s="3">
        <v>81.260000000000005</v>
      </c>
      <c r="E14" s="3">
        <v>135.43</v>
      </c>
      <c r="F14">
        <v>2</v>
      </c>
      <c r="G14" s="4">
        <f>E14/F14</f>
        <v>67.715000000000003</v>
      </c>
      <c r="H14" s="7" t="s">
        <v>18</v>
      </c>
      <c r="I14" t="s">
        <v>84</v>
      </c>
      <c r="J14" t="s">
        <v>85</v>
      </c>
      <c r="K14" t="s">
        <v>86</v>
      </c>
      <c r="L14" s="8" t="s">
        <v>22</v>
      </c>
      <c r="M14" s="8">
        <f>COUNTIF($B$1:$B$1191, B14)</f>
        <v>3</v>
      </c>
      <c r="N14">
        <f>COUNTIF($H$2:$H$1181, H14)</f>
        <v>38</v>
      </c>
    </row>
    <row r="15" spans="1:15">
      <c r="A15" t="s">
        <v>87</v>
      </c>
      <c r="B15" t="s">
        <v>88</v>
      </c>
      <c r="C15" t="s">
        <v>89</v>
      </c>
      <c r="D15" s="3">
        <v>113.76</v>
      </c>
      <c r="E15" s="3">
        <v>113.76</v>
      </c>
      <c r="F15">
        <v>1</v>
      </c>
      <c r="G15" s="4">
        <f>E15/F15</f>
        <v>113.76</v>
      </c>
      <c r="H15" s="7" t="s">
        <v>18</v>
      </c>
      <c r="I15" t="s">
        <v>90</v>
      </c>
      <c r="J15" t="s">
        <v>91</v>
      </c>
      <c r="K15" t="s">
        <v>92</v>
      </c>
      <c r="L15" s="8" t="s">
        <v>22</v>
      </c>
      <c r="M15" s="8">
        <f>COUNTIF($B$1:$B$1191, B15)</f>
        <v>4</v>
      </c>
      <c r="N15">
        <f>COUNTIF($H$2:$H$1181, H15)</f>
        <v>38</v>
      </c>
    </row>
    <row r="16" spans="1:15">
      <c r="A16" t="s">
        <v>93</v>
      </c>
      <c r="B16" t="s">
        <v>94</v>
      </c>
      <c r="C16" t="s">
        <v>95</v>
      </c>
      <c r="D16" s="3">
        <v>113.76</v>
      </c>
      <c r="E16" s="3">
        <v>113.76</v>
      </c>
      <c r="F16">
        <v>3</v>
      </c>
      <c r="G16" s="4">
        <f>E16/F16</f>
        <v>37.92</v>
      </c>
      <c r="H16" s="7" t="s">
        <v>18</v>
      </c>
      <c r="I16" t="s">
        <v>96</v>
      </c>
      <c r="J16" t="s">
        <v>97</v>
      </c>
      <c r="K16" t="s">
        <v>98</v>
      </c>
      <c r="L16" s="8" t="s">
        <v>22</v>
      </c>
      <c r="M16" s="8">
        <f>COUNTIF($B$1:$B$1191, B16)</f>
        <v>4</v>
      </c>
      <c r="N16">
        <f>COUNTIF($H$2:$H$1181, H16)</f>
        <v>38</v>
      </c>
    </row>
    <row r="17" spans="1:14">
      <c r="A17" t="s">
        <v>99</v>
      </c>
      <c r="B17" t="s">
        <v>100</v>
      </c>
      <c r="C17" t="s">
        <v>101</v>
      </c>
      <c r="D17" s="3">
        <v>130.01</v>
      </c>
      <c r="E17" s="3">
        <v>130.01</v>
      </c>
      <c r="F17">
        <v>1</v>
      </c>
      <c r="G17" s="4">
        <f>E17/F17</f>
        <v>130.01</v>
      </c>
      <c r="H17" s="7" t="s">
        <v>18</v>
      </c>
      <c r="I17" t="s">
        <v>102</v>
      </c>
      <c r="J17" t="s">
        <v>103</v>
      </c>
      <c r="K17" t="s">
        <v>104</v>
      </c>
      <c r="L17" s="8" t="s">
        <v>22</v>
      </c>
      <c r="M17" s="8">
        <f>COUNTIF($B$1:$B$1191, B17)</f>
        <v>6</v>
      </c>
      <c r="N17">
        <f>COUNTIF($H$2:$H$1181, H17)</f>
        <v>38</v>
      </c>
    </row>
    <row r="18" spans="1:14">
      <c r="A18" t="s">
        <v>105</v>
      </c>
      <c r="B18" t="s">
        <v>43</v>
      </c>
      <c r="C18" t="s">
        <v>44</v>
      </c>
      <c r="D18" s="3">
        <v>54.17</v>
      </c>
      <c r="E18" s="3">
        <v>54.17</v>
      </c>
      <c r="F18">
        <v>1</v>
      </c>
      <c r="G18" s="4">
        <f>E18/F18</f>
        <v>54.17</v>
      </c>
      <c r="H18" s="7" t="s">
        <v>18</v>
      </c>
      <c r="I18" t="s">
        <v>106</v>
      </c>
      <c r="J18" t="s">
        <v>107</v>
      </c>
      <c r="K18" t="s">
        <v>57</v>
      </c>
      <c r="L18" s="8" t="s">
        <v>22</v>
      </c>
      <c r="M18" s="8">
        <f>COUNTIF($B$1:$B$1191, B18)</f>
        <v>3</v>
      </c>
      <c r="N18">
        <f>COUNTIF($H$2:$H$1181, H18)</f>
        <v>38</v>
      </c>
    </row>
    <row r="19" spans="1:14">
      <c r="A19" t="s">
        <v>108</v>
      </c>
      <c r="B19" t="s">
        <v>109</v>
      </c>
      <c r="C19" t="s">
        <v>110</v>
      </c>
      <c r="D19" s="3">
        <v>75.84</v>
      </c>
      <c r="E19" s="3">
        <v>130.01</v>
      </c>
      <c r="F19">
        <v>3</v>
      </c>
      <c r="G19" s="4">
        <f>E19/F19</f>
        <v>43.336666666666666</v>
      </c>
      <c r="H19" s="7" t="s">
        <v>18</v>
      </c>
      <c r="I19" t="s">
        <v>111</v>
      </c>
      <c r="J19" t="s">
        <v>112</v>
      </c>
      <c r="K19" t="s">
        <v>113</v>
      </c>
      <c r="L19" s="8" t="s">
        <v>22</v>
      </c>
      <c r="M19" s="8">
        <f>COUNTIF($B$1:$B$1191, B19)</f>
        <v>1</v>
      </c>
      <c r="N19">
        <f>COUNTIF($H$2:$H$1181, H19)</f>
        <v>38</v>
      </c>
    </row>
    <row r="20" spans="1:14">
      <c r="A20" t="s">
        <v>114</v>
      </c>
      <c r="B20" t="s">
        <v>115</v>
      </c>
      <c r="C20" t="s">
        <v>116</v>
      </c>
      <c r="D20" s="3">
        <v>65.010000000000005</v>
      </c>
      <c r="E20" s="3">
        <v>157.1</v>
      </c>
      <c r="F20">
        <v>12</v>
      </c>
      <c r="G20" s="4">
        <f>E20/F20</f>
        <v>13.091666666666667</v>
      </c>
      <c r="H20" s="7" t="s">
        <v>18</v>
      </c>
      <c r="I20" t="s">
        <v>117</v>
      </c>
      <c r="J20" t="s">
        <v>118</v>
      </c>
      <c r="K20" t="s">
        <v>119</v>
      </c>
      <c r="L20" s="8" t="s">
        <v>22</v>
      </c>
      <c r="M20" s="8">
        <f>COUNTIF($B$1:$B$1191, B20)</f>
        <v>5</v>
      </c>
      <c r="N20">
        <f>COUNTIF($H$2:$H$1181, H20)</f>
        <v>38</v>
      </c>
    </row>
    <row r="21" spans="1:14">
      <c r="A21" t="s">
        <v>120</v>
      </c>
      <c r="B21" t="s">
        <v>121</v>
      </c>
      <c r="C21" t="s">
        <v>122</v>
      </c>
      <c r="D21" s="3">
        <v>32.5</v>
      </c>
      <c r="E21" s="3">
        <v>130.01</v>
      </c>
      <c r="F21">
        <v>4</v>
      </c>
      <c r="G21" s="4">
        <f>E21/F21</f>
        <v>32.502499999999998</v>
      </c>
      <c r="H21" s="7" t="s">
        <v>18</v>
      </c>
      <c r="I21" t="s">
        <v>123</v>
      </c>
      <c r="J21" t="s">
        <v>124</v>
      </c>
      <c r="K21" t="s">
        <v>125</v>
      </c>
      <c r="L21" s="8" t="s">
        <v>22</v>
      </c>
      <c r="M21" s="8">
        <f>COUNTIF($B$1:$B$1191, B21)</f>
        <v>2</v>
      </c>
      <c r="N21">
        <f>COUNTIF($H$2:$H$1181, H21)</f>
        <v>38</v>
      </c>
    </row>
    <row r="22" spans="1:14">
      <c r="A22" t="s">
        <v>126</v>
      </c>
      <c r="B22" t="s">
        <v>127</v>
      </c>
      <c r="C22" t="s">
        <v>128</v>
      </c>
      <c r="D22" s="3">
        <v>75.84</v>
      </c>
      <c r="E22" s="3">
        <v>75.84</v>
      </c>
      <c r="F22">
        <v>2</v>
      </c>
      <c r="G22" s="4">
        <f>E22/F22</f>
        <v>37.92</v>
      </c>
      <c r="H22" s="7" t="s">
        <v>18</v>
      </c>
      <c r="I22" t="s">
        <v>129</v>
      </c>
      <c r="J22" t="s">
        <v>130</v>
      </c>
      <c r="K22" t="s">
        <v>131</v>
      </c>
      <c r="L22" s="8" t="s">
        <v>22</v>
      </c>
      <c r="M22" s="8">
        <f>COUNTIF($B$1:$B$1191, B22)</f>
        <v>3</v>
      </c>
      <c r="N22">
        <f>COUNTIF($H$2:$H$1181, H22)</f>
        <v>38</v>
      </c>
    </row>
    <row r="23" spans="1:14">
      <c r="A23" t="s">
        <v>132</v>
      </c>
      <c r="B23" t="s">
        <v>133</v>
      </c>
      <c r="C23" t="s">
        <v>134</v>
      </c>
      <c r="D23" s="3">
        <v>135.43</v>
      </c>
      <c r="E23" s="3">
        <v>135.43</v>
      </c>
      <c r="F23">
        <v>1</v>
      </c>
      <c r="G23" s="4">
        <f>E23/F23</f>
        <v>135.43</v>
      </c>
      <c r="H23" s="7" t="s">
        <v>18</v>
      </c>
      <c r="I23" t="s">
        <v>135</v>
      </c>
      <c r="J23" t="s">
        <v>136</v>
      </c>
      <c r="K23" t="s">
        <v>137</v>
      </c>
      <c r="L23" s="8" t="s">
        <v>22</v>
      </c>
      <c r="M23" s="8">
        <f>COUNTIF($B$1:$B$1191, B23)</f>
        <v>3</v>
      </c>
      <c r="N23">
        <f>COUNTIF($H$2:$H$1181, H23)</f>
        <v>38</v>
      </c>
    </row>
    <row r="24" spans="1:14">
      <c r="A24" t="s">
        <v>138</v>
      </c>
      <c r="B24" t="s">
        <v>49</v>
      </c>
      <c r="C24" t="s">
        <v>50</v>
      </c>
      <c r="D24" s="3">
        <v>102.93</v>
      </c>
      <c r="E24" s="3">
        <v>124.6</v>
      </c>
      <c r="F24">
        <v>2</v>
      </c>
      <c r="G24" s="4">
        <f>E24/F24</f>
        <v>62.3</v>
      </c>
      <c r="H24" s="7" t="s">
        <v>18</v>
      </c>
      <c r="I24" t="s">
        <v>139</v>
      </c>
      <c r="J24" t="s">
        <v>140</v>
      </c>
      <c r="K24" t="s">
        <v>141</v>
      </c>
      <c r="L24" s="8" t="s">
        <v>22</v>
      </c>
      <c r="M24" s="8">
        <f>COUNTIF($B$1:$B$1191, B24)</f>
        <v>15</v>
      </c>
      <c r="N24">
        <f>COUNTIF($H$2:$H$1181, H24)</f>
        <v>38</v>
      </c>
    </row>
    <row r="25" spans="1:14">
      <c r="A25" t="s">
        <v>142</v>
      </c>
      <c r="B25" t="s">
        <v>143</v>
      </c>
      <c r="C25" t="s">
        <v>144</v>
      </c>
      <c r="D25" s="3">
        <v>92.09</v>
      </c>
      <c r="E25" s="3">
        <v>157.1</v>
      </c>
      <c r="F25">
        <v>2</v>
      </c>
      <c r="G25" s="4">
        <f>E25/F25</f>
        <v>78.55</v>
      </c>
      <c r="H25" s="7" t="s">
        <v>18</v>
      </c>
      <c r="I25" t="s">
        <v>145</v>
      </c>
      <c r="J25" t="s">
        <v>146</v>
      </c>
      <c r="K25" t="s">
        <v>147</v>
      </c>
      <c r="L25" s="8" t="s">
        <v>22</v>
      </c>
      <c r="M25" s="8">
        <f>COUNTIF($B$1:$B$1191, B25)</f>
        <v>3</v>
      </c>
      <c r="N25">
        <f>COUNTIF($H$2:$H$1181, H25)</f>
        <v>38</v>
      </c>
    </row>
    <row r="26" spans="1:14">
      <c r="A26" t="s">
        <v>148</v>
      </c>
      <c r="B26" t="s">
        <v>115</v>
      </c>
      <c r="C26" t="s">
        <v>149</v>
      </c>
      <c r="D26" s="3">
        <v>75.84</v>
      </c>
      <c r="E26" s="3">
        <v>102.93</v>
      </c>
      <c r="F26">
        <v>5</v>
      </c>
      <c r="G26" s="4">
        <f>E26/F26</f>
        <v>20.586000000000002</v>
      </c>
      <c r="H26" s="7" t="s">
        <v>18</v>
      </c>
      <c r="I26" t="s">
        <v>150</v>
      </c>
      <c r="J26" t="s">
        <v>151</v>
      </c>
      <c r="K26" t="s">
        <v>152</v>
      </c>
      <c r="L26" s="8" t="s">
        <v>153</v>
      </c>
      <c r="M26" s="8">
        <f>COUNTIF($B$1:$B$1191, B26)</f>
        <v>5</v>
      </c>
      <c r="N26">
        <f>COUNTIF($H$2:$H$1181, H26)</f>
        <v>38</v>
      </c>
    </row>
    <row r="27" spans="1:14">
      <c r="A27" t="s">
        <v>154</v>
      </c>
      <c r="B27" t="s">
        <v>115</v>
      </c>
      <c r="C27" t="s">
        <v>155</v>
      </c>
      <c r="D27" s="3">
        <v>59.59</v>
      </c>
      <c r="E27" s="3">
        <v>102.93</v>
      </c>
      <c r="F27">
        <v>5</v>
      </c>
      <c r="G27" s="4">
        <f>E27/F27</f>
        <v>20.586000000000002</v>
      </c>
      <c r="H27" s="7" t="s">
        <v>18</v>
      </c>
      <c r="I27" t="s">
        <v>156</v>
      </c>
      <c r="J27" t="s">
        <v>157</v>
      </c>
      <c r="K27" t="s">
        <v>158</v>
      </c>
      <c r="L27" s="8" t="s">
        <v>22</v>
      </c>
      <c r="M27" s="8">
        <f>COUNTIF($B$1:$B$1191, B27)</f>
        <v>5</v>
      </c>
      <c r="N27">
        <f>COUNTIF($H$2:$H$1181, H27)</f>
        <v>38</v>
      </c>
    </row>
    <row r="28" spans="1:14">
      <c r="A28" t="s">
        <v>159</v>
      </c>
      <c r="B28" t="s">
        <v>115</v>
      </c>
      <c r="C28" t="s">
        <v>160</v>
      </c>
      <c r="D28" s="3">
        <v>48.75</v>
      </c>
      <c r="E28" s="3">
        <v>86.68</v>
      </c>
      <c r="F28">
        <v>2</v>
      </c>
      <c r="G28" s="4">
        <f>E28/F28</f>
        <v>43.34</v>
      </c>
      <c r="H28" s="7" t="s">
        <v>18</v>
      </c>
      <c r="I28" t="s">
        <v>161</v>
      </c>
      <c r="J28" t="s">
        <v>162</v>
      </c>
      <c r="K28" t="s">
        <v>163</v>
      </c>
      <c r="L28" s="8" t="s">
        <v>22</v>
      </c>
      <c r="M28" s="8">
        <f>COUNTIF($B$1:$B$1191, B28)</f>
        <v>5</v>
      </c>
      <c r="N28">
        <f>COUNTIF($H$2:$H$1181, H28)</f>
        <v>38</v>
      </c>
    </row>
    <row r="29" spans="1:14">
      <c r="A29" t="s">
        <v>164</v>
      </c>
      <c r="B29" t="s">
        <v>165</v>
      </c>
      <c r="C29" t="s">
        <v>165</v>
      </c>
      <c r="D29" s="3">
        <v>48.75</v>
      </c>
      <c r="E29" s="3">
        <v>81.260000000000005</v>
      </c>
      <c r="F29">
        <v>7</v>
      </c>
      <c r="G29" s="4">
        <f>E29/F29</f>
        <v>11.608571428571429</v>
      </c>
      <c r="H29" s="7" t="s">
        <v>18</v>
      </c>
      <c r="I29" t="s">
        <v>166</v>
      </c>
      <c r="J29" t="s">
        <v>167</v>
      </c>
      <c r="K29" t="s">
        <v>168</v>
      </c>
      <c r="L29" s="8" t="s">
        <v>22</v>
      </c>
      <c r="M29" s="8">
        <f>COUNTIF($B$1:$B$1191, B29)</f>
        <v>9</v>
      </c>
      <c r="N29">
        <f>COUNTIF($H$2:$H$1181, H29)</f>
        <v>38</v>
      </c>
    </row>
    <row r="30" spans="1:14">
      <c r="A30" t="s">
        <v>169</v>
      </c>
      <c r="B30" t="s">
        <v>170</v>
      </c>
      <c r="C30" t="s">
        <v>171</v>
      </c>
      <c r="D30" s="3">
        <v>270.86</v>
      </c>
      <c r="E30" s="3">
        <v>1625.16</v>
      </c>
      <c r="F30">
        <v>12</v>
      </c>
      <c r="G30" s="4">
        <f>E30/F30</f>
        <v>135.43</v>
      </c>
      <c r="H30" s="7" t="s">
        <v>18</v>
      </c>
      <c r="I30" t="s">
        <v>172</v>
      </c>
      <c r="J30" t="s">
        <v>173</v>
      </c>
      <c r="K30" t="s">
        <v>174</v>
      </c>
      <c r="L30" s="8" t="s">
        <v>22</v>
      </c>
      <c r="M30" s="8">
        <f>COUNTIF($B$1:$B$1191, B30)</f>
        <v>1</v>
      </c>
      <c r="N30">
        <f>COUNTIF($H$2:$H$1181, H30)</f>
        <v>38</v>
      </c>
    </row>
    <row r="31" spans="1:14">
      <c r="A31" t="s">
        <v>175</v>
      </c>
      <c r="B31" t="s">
        <v>115</v>
      </c>
      <c r="C31" t="s">
        <v>116</v>
      </c>
      <c r="D31" s="3">
        <v>75.84</v>
      </c>
      <c r="E31" s="3">
        <v>102.93</v>
      </c>
      <c r="F31">
        <v>7</v>
      </c>
      <c r="G31" s="4">
        <f>E31/F31</f>
        <v>14.704285714285716</v>
      </c>
      <c r="H31" s="7" t="s">
        <v>18</v>
      </c>
      <c r="I31" t="s">
        <v>176</v>
      </c>
      <c r="J31" t="s">
        <v>177</v>
      </c>
      <c r="K31" t="s">
        <v>178</v>
      </c>
      <c r="L31" s="8" t="s">
        <v>22</v>
      </c>
      <c r="M31" s="8">
        <f>COUNTIF($B$1:$B$1191, B31)</f>
        <v>5</v>
      </c>
      <c r="N31">
        <f>COUNTIF($H$2:$H$1181, H31)</f>
        <v>38</v>
      </c>
    </row>
    <row r="32" spans="1:14">
      <c r="A32" t="s">
        <v>179</v>
      </c>
      <c r="B32" t="s">
        <v>180</v>
      </c>
      <c r="C32" t="s">
        <v>181</v>
      </c>
      <c r="D32" s="3">
        <v>75.84</v>
      </c>
      <c r="E32" s="3">
        <v>1365.14</v>
      </c>
      <c r="F32">
        <v>18</v>
      </c>
      <c r="G32" s="4">
        <f>E32/F32</f>
        <v>75.841111111111118</v>
      </c>
      <c r="H32" s="7" t="s">
        <v>18</v>
      </c>
      <c r="I32" t="s">
        <v>182</v>
      </c>
      <c r="J32" t="s">
        <v>183</v>
      </c>
      <c r="K32" t="s">
        <v>184</v>
      </c>
      <c r="L32" s="8" t="s">
        <v>22</v>
      </c>
      <c r="M32" s="8">
        <f>COUNTIF($B$1:$B$1191, B32)</f>
        <v>2</v>
      </c>
      <c r="N32">
        <f>COUNTIF($H$2:$H$1181, H32)</f>
        <v>38</v>
      </c>
    </row>
    <row r="33" spans="1:14">
      <c r="A33" t="s">
        <v>185</v>
      </c>
      <c r="B33" t="s">
        <v>186</v>
      </c>
      <c r="C33" t="s">
        <v>187</v>
      </c>
      <c r="D33" s="3">
        <v>65.010000000000005</v>
      </c>
      <c r="E33" s="3">
        <v>108.34</v>
      </c>
      <c r="F33">
        <v>4</v>
      </c>
      <c r="G33" s="4">
        <f>E33/F33</f>
        <v>27.085000000000001</v>
      </c>
      <c r="H33" s="7" t="s">
        <v>18</v>
      </c>
      <c r="I33" t="s">
        <v>188</v>
      </c>
      <c r="J33" t="s">
        <v>189</v>
      </c>
      <c r="K33" t="s">
        <v>190</v>
      </c>
      <c r="L33" s="8" t="s">
        <v>22</v>
      </c>
      <c r="M33" s="8">
        <f>COUNTIF($B$1:$B$1191, B33)</f>
        <v>5</v>
      </c>
      <c r="N33">
        <f>COUNTIF($H$2:$H$1181, H33)</f>
        <v>38</v>
      </c>
    </row>
    <row r="34" spans="1:14">
      <c r="A34" t="s">
        <v>191</v>
      </c>
      <c r="B34" t="s">
        <v>192</v>
      </c>
      <c r="C34" t="s">
        <v>193</v>
      </c>
      <c r="D34" s="3">
        <v>65.010000000000005</v>
      </c>
      <c r="E34" s="3">
        <v>135.43</v>
      </c>
      <c r="F34">
        <v>6</v>
      </c>
      <c r="G34" s="4">
        <f>E34/F34</f>
        <v>22.571666666666669</v>
      </c>
      <c r="H34" s="7" t="s">
        <v>18</v>
      </c>
      <c r="I34" t="s">
        <v>194</v>
      </c>
      <c r="J34" t="s">
        <v>195</v>
      </c>
      <c r="K34" t="s">
        <v>196</v>
      </c>
      <c r="L34" s="8" t="s">
        <v>22</v>
      </c>
      <c r="M34" s="8">
        <f>COUNTIF($B$1:$B$1191, B34)</f>
        <v>1</v>
      </c>
      <c r="N34">
        <f>COUNTIF($H$2:$H$1181, H34)</f>
        <v>38</v>
      </c>
    </row>
    <row r="35" spans="1:14">
      <c r="A35" t="s">
        <v>197</v>
      </c>
      <c r="B35" t="s">
        <v>198</v>
      </c>
      <c r="C35" t="s">
        <v>199</v>
      </c>
      <c r="D35" s="3">
        <v>54.17</v>
      </c>
      <c r="E35" s="3">
        <v>108.34</v>
      </c>
      <c r="F35">
        <v>2</v>
      </c>
      <c r="G35" s="4">
        <f>E35/F35</f>
        <v>54.17</v>
      </c>
      <c r="H35" s="7" t="s">
        <v>18</v>
      </c>
      <c r="I35" t="s">
        <v>200</v>
      </c>
      <c r="J35" t="s">
        <v>201</v>
      </c>
      <c r="K35" t="s">
        <v>202</v>
      </c>
      <c r="L35" s="8" t="s">
        <v>22</v>
      </c>
      <c r="M35" s="8">
        <f>COUNTIF($B$1:$B$1191, B35)</f>
        <v>1</v>
      </c>
      <c r="N35">
        <f>COUNTIF($H$2:$H$1181, H35)</f>
        <v>38</v>
      </c>
    </row>
    <row r="36" spans="1:14">
      <c r="A36" t="s">
        <v>203</v>
      </c>
      <c r="B36" t="s">
        <v>204</v>
      </c>
      <c r="C36" t="s">
        <v>205</v>
      </c>
      <c r="D36" s="3">
        <v>48.75</v>
      </c>
      <c r="E36" s="3">
        <v>65.010000000000005</v>
      </c>
      <c r="F36">
        <v>2</v>
      </c>
      <c r="G36" s="4">
        <f>E36/F36</f>
        <v>32.505000000000003</v>
      </c>
      <c r="H36" s="7" t="s">
        <v>18</v>
      </c>
      <c r="I36" t="s">
        <v>206</v>
      </c>
      <c r="J36" t="s">
        <v>207</v>
      </c>
      <c r="K36" t="s">
        <v>208</v>
      </c>
      <c r="L36" s="8" t="s">
        <v>22</v>
      </c>
      <c r="M36" s="8">
        <f>COUNTIF($B$1:$B$1191, B36)</f>
        <v>1</v>
      </c>
      <c r="N36">
        <f>COUNTIF($H$2:$H$1181, H36)</f>
        <v>38</v>
      </c>
    </row>
    <row r="37" spans="1:14">
      <c r="A37" t="s">
        <v>209</v>
      </c>
      <c r="B37" t="s">
        <v>210</v>
      </c>
      <c r="C37" t="s">
        <v>211</v>
      </c>
      <c r="D37" s="3">
        <v>119.18</v>
      </c>
      <c r="E37" s="3">
        <v>119.18</v>
      </c>
      <c r="F37">
        <v>1</v>
      </c>
      <c r="G37" s="4">
        <f>E37/F37</f>
        <v>119.18</v>
      </c>
      <c r="H37" s="7" t="s">
        <v>18</v>
      </c>
      <c r="I37" t="s">
        <v>212</v>
      </c>
      <c r="J37" t="s">
        <v>213</v>
      </c>
      <c r="K37" t="s">
        <v>214</v>
      </c>
      <c r="L37" s="8" t="s">
        <v>22</v>
      </c>
      <c r="M37" s="8">
        <f>COUNTIF($B$1:$B$1191, B37)</f>
        <v>1</v>
      </c>
      <c r="N37">
        <f>COUNTIF($H$2:$H$1181, H37)</f>
        <v>38</v>
      </c>
    </row>
    <row r="38" spans="1:14">
      <c r="A38" t="s">
        <v>215</v>
      </c>
      <c r="B38" t="s">
        <v>216</v>
      </c>
      <c r="C38" t="s">
        <v>217</v>
      </c>
      <c r="D38" s="3">
        <v>135.43</v>
      </c>
      <c r="E38" s="3">
        <v>135.43</v>
      </c>
      <c r="F38">
        <v>1</v>
      </c>
      <c r="G38" s="4">
        <f>E38/F38</f>
        <v>135.43</v>
      </c>
      <c r="H38" s="7" t="s">
        <v>18</v>
      </c>
      <c r="I38" t="s">
        <v>218</v>
      </c>
      <c r="J38" t="s">
        <v>219</v>
      </c>
      <c r="K38" t="s">
        <v>220</v>
      </c>
      <c r="L38" s="8" t="s">
        <v>22</v>
      </c>
      <c r="M38" s="8">
        <f>COUNTIF($B$1:$B$1191, B38)</f>
        <v>3</v>
      </c>
      <c r="N38">
        <f>COUNTIF($H$2:$H$1181, H38)</f>
        <v>38</v>
      </c>
    </row>
    <row r="39" spans="1:14">
      <c r="A39" t="s">
        <v>221</v>
      </c>
      <c r="B39" t="s">
        <v>222</v>
      </c>
      <c r="C39" t="s">
        <v>223</v>
      </c>
      <c r="D39" s="3">
        <v>130.01</v>
      </c>
      <c r="E39" s="3">
        <v>130.01</v>
      </c>
      <c r="F39">
        <v>3</v>
      </c>
      <c r="G39" s="4">
        <f>E39/F39</f>
        <v>43.336666666666666</v>
      </c>
      <c r="H39" s="7" t="s">
        <v>18</v>
      </c>
      <c r="I39" t="s">
        <v>224</v>
      </c>
      <c r="J39" t="s">
        <v>225</v>
      </c>
      <c r="K39" t="s">
        <v>226</v>
      </c>
      <c r="L39" s="8" t="s">
        <v>22</v>
      </c>
      <c r="M39" s="8">
        <f>COUNTIF($B$1:$B$1191, B39)</f>
        <v>11</v>
      </c>
      <c r="N39">
        <f>COUNTIF($H$2:$H$1181, H39)</f>
        <v>38</v>
      </c>
    </row>
    <row r="40" spans="1:14">
      <c r="A40" t="s">
        <v>227</v>
      </c>
      <c r="B40" t="s">
        <v>228</v>
      </c>
      <c r="C40" t="s">
        <v>228</v>
      </c>
      <c r="D40" s="3">
        <v>157.1</v>
      </c>
      <c r="E40" s="3">
        <v>298.49</v>
      </c>
      <c r="F40">
        <v>2</v>
      </c>
      <c r="G40" s="4">
        <f>E40/F40</f>
        <v>149.245</v>
      </c>
      <c r="H40" s="7" t="s">
        <v>229</v>
      </c>
      <c r="I40" t="s">
        <v>230</v>
      </c>
      <c r="J40" t="s">
        <v>231</v>
      </c>
      <c r="K40" t="s">
        <v>232</v>
      </c>
      <c r="L40" s="8" t="s">
        <v>22</v>
      </c>
      <c r="M40" s="8">
        <f>COUNTIF($B$1:$B$1191, B40)</f>
        <v>10</v>
      </c>
      <c r="N40">
        <f>COUNTIF($H$2:$H$1181, H40)</f>
        <v>10</v>
      </c>
    </row>
    <row r="41" spans="1:14">
      <c r="A41" t="s">
        <v>233</v>
      </c>
      <c r="B41" t="s">
        <v>228</v>
      </c>
      <c r="C41" t="s">
        <v>228</v>
      </c>
      <c r="D41" s="3">
        <v>157.1</v>
      </c>
      <c r="E41" s="3">
        <v>298.49</v>
      </c>
      <c r="F41">
        <v>2</v>
      </c>
      <c r="G41" s="4">
        <f>E41/F41</f>
        <v>149.245</v>
      </c>
      <c r="H41" s="7" t="s">
        <v>229</v>
      </c>
      <c r="I41" t="s">
        <v>234</v>
      </c>
      <c r="J41" t="s">
        <v>235</v>
      </c>
      <c r="K41" t="s">
        <v>236</v>
      </c>
      <c r="L41" s="8" t="s">
        <v>22</v>
      </c>
      <c r="M41" s="8">
        <f>COUNTIF($B$1:$B$1191, B41)</f>
        <v>10</v>
      </c>
      <c r="N41">
        <f>COUNTIF($H$2:$H$1181, H41)</f>
        <v>10</v>
      </c>
    </row>
    <row r="42" spans="1:14">
      <c r="A42" t="s">
        <v>237</v>
      </c>
      <c r="B42" t="s">
        <v>228</v>
      </c>
      <c r="C42" t="s">
        <v>228</v>
      </c>
      <c r="D42" s="3">
        <v>157.1</v>
      </c>
      <c r="E42" s="3">
        <v>298.49</v>
      </c>
      <c r="F42">
        <v>2</v>
      </c>
      <c r="G42" s="4">
        <f>E42/F42</f>
        <v>149.245</v>
      </c>
      <c r="H42" s="7" t="s">
        <v>229</v>
      </c>
      <c r="I42" t="s">
        <v>238</v>
      </c>
      <c r="J42" t="s">
        <v>239</v>
      </c>
      <c r="K42" t="s">
        <v>240</v>
      </c>
      <c r="L42" s="8" t="s">
        <v>22</v>
      </c>
      <c r="M42" s="8">
        <f>COUNTIF($B$1:$B$1191, B42)</f>
        <v>10</v>
      </c>
      <c r="N42">
        <f>COUNTIF($H$2:$H$1181, H42)</f>
        <v>10</v>
      </c>
    </row>
    <row r="43" spans="1:14">
      <c r="A43" t="s">
        <v>241</v>
      </c>
      <c r="B43" t="s">
        <v>228</v>
      </c>
      <c r="C43" t="s">
        <v>228</v>
      </c>
      <c r="D43" s="3">
        <v>157.1</v>
      </c>
      <c r="E43" s="3">
        <v>298.49</v>
      </c>
      <c r="F43">
        <v>2</v>
      </c>
      <c r="G43" s="4">
        <f>E43/F43</f>
        <v>149.245</v>
      </c>
      <c r="H43" s="7" t="s">
        <v>229</v>
      </c>
      <c r="I43" t="s">
        <v>242</v>
      </c>
      <c r="J43" t="s">
        <v>243</v>
      </c>
      <c r="K43" t="s">
        <v>244</v>
      </c>
      <c r="L43" s="8" t="s">
        <v>22</v>
      </c>
      <c r="M43" s="8">
        <f>COUNTIF($B$1:$B$1191, B43)</f>
        <v>10</v>
      </c>
      <c r="N43">
        <f>COUNTIF($H$2:$H$1181, H43)</f>
        <v>10</v>
      </c>
    </row>
    <row r="44" spans="1:14">
      <c r="A44" t="s">
        <v>245</v>
      </c>
      <c r="B44" t="s">
        <v>228</v>
      </c>
      <c r="C44" t="s">
        <v>228</v>
      </c>
      <c r="D44" s="3">
        <v>157.1</v>
      </c>
      <c r="E44" s="3">
        <v>298.49</v>
      </c>
      <c r="F44">
        <v>2</v>
      </c>
      <c r="G44" s="4">
        <f>E44/F44</f>
        <v>149.245</v>
      </c>
      <c r="H44" s="7" t="s">
        <v>229</v>
      </c>
      <c r="I44" t="s">
        <v>246</v>
      </c>
      <c r="J44" t="s">
        <v>247</v>
      </c>
      <c r="K44" t="s">
        <v>248</v>
      </c>
      <c r="L44" s="8" t="s">
        <v>22</v>
      </c>
      <c r="M44" s="8">
        <f>COUNTIF($B$1:$B$1191, B44)</f>
        <v>10</v>
      </c>
      <c r="N44">
        <f>COUNTIF($H$2:$H$1181, H44)</f>
        <v>10</v>
      </c>
    </row>
    <row r="45" spans="1:14">
      <c r="A45" t="s">
        <v>249</v>
      </c>
      <c r="B45" t="s">
        <v>228</v>
      </c>
      <c r="C45" t="s">
        <v>228</v>
      </c>
      <c r="D45" s="3">
        <v>157.1</v>
      </c>
      <c r="E45" s="3">
        <v>298.49</v>
      </c>
      <c r="F45">
        <v>2</v>
      </c>
      <c r="G45" s="4">
        <f>E45/F45</f>
        <v>149.245</v>
      </c>
      <c r="H45" s="7" t="s">
        <v>229</v>
      </c>
      <c r="I45" t="s">
        <v>250</v>
      </c>
      <c r="J45" t="s">
        <v>251</v>
      </c>
      <c r="K45" t="s">
        <v>252</v>
      </c>
      <c r="L45" s="8" t="s">
        <v>22</v>
      </c>
      <c r="M45" s="8">
        <f>COUNTIF($B$1:$B$1191, B45)</f>
        <v>10</v>
      </c>
      <c r="N45">
        <f>COUNTIF($H$2:$H$1181, H45)</f>
        <v>10</v>
      </c>
    </row>
    <row r="46" spans="1:14">
      <c r="A46" t="s">
        <v>253</v>
      </c>
      <c r="B46" t="s">
        <v>228</v>
      </c>
      <c r="C46" t="s">
        <v>228</v>
      </c>
      <c r="D46" s="3">
        <v>157.1</v>
      </c>
      <c r="E46" s="3">
        <v>298.49</v>
      </c>
      <c r="F46">
        <v>2</v>
      </c>
      <c r="G46" s="4">
        <f>E46/F46</f>
        <v>149.245</v>
      </c>
      <c r="H46" s="7" t="s">
        <v>229</v>
      </c>
      <c r="I46" t="s">
        <v>254</v>
      </c>
      <c r="J46" t="s">
        <v>255</v>
      </c>
      <c r="K46" t="s">
        <v>256</v>
      </c>
      <c r="L46" s="8" t="s">
        <v>22</v>
      </c>
      <c r="M46" s="8">
        <f>COUNTIF($B$1:$B$1191, B46)</f>
        <v>10</v>
      </c>
      <c r="N46">
        <f>COUNTIF($H$2:$H$1181, H46)</f>
        <v>10</v>
      </c>
    </row>
    <row r="47" spans="1:14">
      <c r="A47" t="s">
        <v>257</v>
      </c>
      <c r="B47" t="s">
        <v>228</v>
      </c>
      <c r="C47" t="s">
        <v>228</v>
      </c>
      <c r="D47" s="3">
        <v>157.1</v>
      </c>
      <c r="E47" s="3">
        <v>298.49</v>
      </c>
      <c r="F47">
        <v>2</v>
      </c>
      <c r="G47" s="4">
        <f>E47/F47</f>
        <v>149.245</v>
      </c>
      <c r="H47" s="7" t="s">
        <v>229</v>
      </c>
      <c r="I47" t="s">
        <v>258</v>
      </c>
      <c r="J47" t="s">
        <v>259</v>
      </c>
      <c r="K47" t="s">
        <v>260</v>
      </c>
      <c r="L47" s="8" t="s">
        <v>22</v>
      </c>
      <c r="M47" s="8">
        <f>COUNTIF($B$1:$B$1191, B47)</f>
        <v>10</v>
      </c>
      <c r="N47">
        <f>COUNTIF($H$2:$H$1181, H47)</f>
        <v>10</v>
      </c>
    </row>
    <row r="48" spans="1:14">
      <c r="A48" t="s">
        <v>261</v>
      </c>
      <c r="B48" t="s">
        <v>228</v>
      </c>
      <c r="C48" t="s">
        <v>228</v>
      </c>
      <c r="D48" s="3">
        <v>157.1</v>
      </c>
      <c r="E48" s="3">
        <v>298.49</v>
      </c>
      <c r="F48">
        <v>2</v>
      </c>
      <c r="G48" s="4">
        <f>E48/F48</f>
        <v>149.245</v>
      </c>
      <c r="H48" s="7" t="s">
        <v>229</v>
      </c>
      <c r="I48" t="s">
        <v>262</v>
      </c>
      <c r="J48" t="s">
        <v>263</v>
      </c>
      <c r="K48" t="s">
        <v>264</v>
      </c>
      <c r="L48" s="8" t="s">
        <v>22</v>
      </c>
      <c r="M48" s="8">
        <f>COUNTIF($B$1:$B$1191, B48)</f>
        <v>10</v>
      </c>
      <c r="N48">
        <f>COUNTIF($H$2:$H$1181, H48)</f>
        <v>10</v>
      </c>
    </row>
    <row r="49" spans="1:14">
      <c r="A49" t="s">
        <v>265</v>
      </c>
      <c r="B49" t="s">
        <v>228</v>
      </c>
      <c r="C49" t="s">
        <v>228</v>
      </c>
      <c r="D49" s="3">
        <v>157.1</v>
      </c>
      <c r="E49" s="3">
        <v>298.49</v>
      </c>
      <c r="F49">
        <v>2</v>
      </c>
      <c r="G49" s="4">
        <f>E49/F49</f>
        <v>149.245</v>
      </c>
      <c r="H49" s="7" t="s">
        <v>229</v>
      </c>
      <c r="I49" t="s">
        <v>266</v>
      </c>
      <c r="J49" t="s">
        <v>267</v>
      </c>
      <c r="K49" t="s">
        <v>268</v>
      </c>
      <c r="L49" s="8" t="s">
        <v>22</v>
      </c>
      <c r="M49" s="8">
        <f>COUNTIF($B$1:$B$1191, B49)</f>
        <v>10</v>
      </c>
      <c r="N49">
        <f>COUNTIF($H$2:$H$1181, H49)</f>
        <v>10</v>
      </c>
    </row>
    <row r="50" spans="1:14">
      <c r="A50" s="29" t="s">
        <v>269</v>
      </c>
      <c r="B50" s="30" t="s">
        <v>270</v>
      </c>
      <c r="C50" s="30" t="s">
        <v>271</v>
      </c>
      <c r="D50" s="31">
        <v>483.87</v>
      </c>
      <c r="E50" s="31">
        <v>483.87</v>
      </c>
      <c r="F50" s="30">
        <v>1</v>
      </c>
      <c r="G50" s="34">
        <f>E50/F50</f>
        <v>483.87</v>
      </c>
      <c r="H50" s="36" t="s">
        <v>272</v>
      </c>
      <c r="I50" s="30" t="s">
        <v>273</v>
      </c>
      <c r="J50" s="30" t="s">
        <v>274</v>
      </c>
      <c r="K50" s="30" t="s">
        <v>275</v>
      </c>
      <c r="L50" s="38" t="s">
        <v>153</v>
      </c>
      <c r="M50" s="8">
        <f>COUNTIF($B$1:$B$1191, B50)</f>
        <v>5</v>
      </c>
      <c r="N50" s="8">
        <f>COUNTIF($H$2:$H$1181, H50)</f>
        <v>2</v>
      </c>
    </row>
    <row r="51" spans="1:14">
      <c r="A51" s="32" t="s">
        <v>276</v>
      </c>
      <c r="B51" s="26" t="s">
        <v>277</v>
      </c>
      <c r="C51" s="26" t="s">
        <v>278</v>
      </c>
      <c r="D51" s="33">
        <v>135.91999999999999</v>
      </c>
      <c r="E51" s="33">
        <v>1087.3499999999999</v>
      </c>
      <c r="F51" s="26">
        <v>8</v>
      </c>
      <c r="G51" s="35">
        <f>E51/F51</f>
        <v>135.91874999999999</v>
      </c>
      <c r="H51" s="37" t="s">
        <v>272</v>
      </c>
      <c r="I51" s="26" t="s">
        <v>279</v>
      </c>
      <c r="J51" s="26" t="s">
        <v>280</v>
      </c>
      <c r="K51" s="26" t="s">
        <v>281</v>
      </c>
      <c r="L51" s="39" t="s">
        <v>22</v>
      </c>
      <c r="M51" s="8">
        <f>COUNTIF($B$1:$B$1191, B51)</f>
        <v>3</v>
      </c>
      <c r="N51" s="8">
        <f>COUNTIF($H$2:$H$1181, H51)</f>
        <v>2</v>
      </c>
    </row>
    <row r="52" spans="1:14">
      <c r="A52" s="29" t="s">
        <v>282</v>
      </c>
      <c r="B52" s="30" t="s">
        <v>283</v>
      </c>
      <c r="C52" s="30" t="s">
        <v>284</v>
      </c>
      <c r="D52" s="31">
        <v>92.42</v>
      </c>
      <c r="E52" s="31">
        <v>92.42</v>
      </c>
      <c r="F52" s="30">
        <v>1</v>
      </c>
      <c r="G52" s="34">
        <f>E52/F52</f>
        <v>92.42</v>
      </c>
      <c r="H52" s="36" t="s">
        <v>285</v>
      </c>
      <c r="I52" s="30" t="s">
        <v>286</v>
      </c>
      <c r="J52" s="30" t="s">
        <v>287</v>
      </c>
      <c r="K52" s="30" t="s">
        <v>288</v>
      </c>
      <c r="L52" s="38" t="s">
        <v>22</v>
      </c>
      <c r="M52" s="8">
        <f>COUNTIF($B$1:$B$1191, B52)</f>
        <v>2</v>
      </c>
      <c r="N52" s="8">
        <f>COUNTIF($H$2:$H$1181, H52)</f>
        <v>40</v>
      </c>
    </row>
    <row r="53" spans="1:14">
      <c r="A53" s="32" t="s">
        <v>289</v>
      </c>
      <c r="B53" s="26" t="s">
        <v>290</v>
      </c>
      <c r="C53" s="26" t="s">
        <v>291</v>
      </c>
      <c r="D53" s="33">
        <v>125.05</v>
      </c>
      <c r="E53" s="33">
        <v>125.05</v>
      </c>
      <c r="F53" s="26">
        <v>1</v>
      </c>
      <c r="G53" s="35">
        <f>E53/F53</f>
        <v>125.05</v>
      </c>
      <c r="H53" s="37" t="s">
        <v>285</v>
      </c>
      <c r="I53" s="26" t="s">
        <v>292</v>
      </c>
      <c r="J53" s="26" t="s">
        <v>293</v>
      </c>
      <c r="K53" s="26" t="s">
        <v>294</v>
      </c>
      <c r="L53" s="39" t="s">
        <v>22</v>
      </c>
      <c r="M53" s="8">
        <f>COUNTIF($B$1:$B$1191, B53)</f>
        <v>2</v>
      </c>
      <c r="N53" s="8">
        <f>COUNTIF($H$2:$H$1181, H53)</f>
        <v>40</v>
      </c>
    </row>
    <row r="54" spans="1:14">
      <c r="A54" s="29" t="s">
        <v>295</v>
      </c>
      <c r="B54" s="30" t="s">
        <v>290</v>
      </c>
      <c r="C54" s="30" t="s">
        <v>291</v>
      </c>
      <c r="D54" s="31">
        <v>103.3</v>
      </c>
      <c r="E54" s="31">
        <v>103.3</v>
      </c>
      <c r="F54" s="30">
        <v>1</v>
      </c>
      <c r="G54" s="34">
        <f>E54/F54</f>
        <v>103.3</v>
      </c>
      <c r="H54" s="36" t="s">
        <v>285</v>
      </c>
      <c r="I54" s="30" t="s">
        <v>296</v>
      </c>
      <c r="J54" s="30" t="s">
        <v>297</v>
      </c>
      <c r="K54" s="30" t="s">
        <v>298</v>
      </c>
      <c r="L54" s="38" t="s">
        <v>22</v>
      </c>
      <c r="M54" s="8">
        <f>COUNTIF($B$1:$B$1191, B54)</f>
        <v>2</v>
      </c>
      <c r="N54" s="8">
        <f>COUNTIF($H$2:$H$1181, H54)</f>
        <v>40</v>
      </c>
    </row>
    <row r="55" spans="1:14">
      <c r="A55" s="32" t="s">
        <v>299</v>
      </c>
      <c r="B55" s="26" t="s">
        <v>300</v>
      </c>
      <c r="C55" s="26" t="s">
        <v>301</v>
      </c>
      <c r="D55" s="33">
        <v>65.239999999999995</v>
      </c>
      <c r="E55" s="33">
        <v>92.42</v>
      </c>
      <c r="F55" s="26">
        <v>2</v>
      </c>
      <c r="G55" s="35">
        <f>E55/F55</f>
        <v>46.21</v>
      </c>
      <c r="H55" s="37" t="s">
        <v>285</v>
      </c>
      <c r="I55" s="26" t="s">
        <v>302</v>
      </c>
      <c r="J55" s="26" t="s">
        <v>303</v>
      </c>
      <c r="K55" s="26" t="s">
        <v>304</v>
      </c>
      <c r="L55" s="39" t="s">
        <v>22</v>
      </c>
      <c r="M55" s="8">
        <f>COUNTIF($B$1:$B$1191, B55)</f>
        <v>3</v>
      </c>
      <c r="N55" s="8">
        <f>COUNTIF($H$2:$H$1181, H55)</f>
        <v>40</v>
      </c>
    </row>
    <row r="56" spans="1:14">
      <c r="A56" s="29" t="s">
        <v>305</v>
      </c>
      <c r="B56" s="30" t="s">
        <v>71</v>
      </c>
      <c r="C56" s="30" t="s">
        <v>72</v>
      </c>
      <c r="D56" s="31">
        <v>48.93</v>
      </c>
      <c r="E56" s="31">
        <v>48.93</v>
      </c>
      <c r="F56" s="30">
        <v>1</v>
      </c>
      <c r="G56" s="34">
        <f>E56/F56</f>
        <v>48.93</v>
      </c>
      <c r="H56" s="36" t="s">
        <v>285</v>
      </c>
      <c r="I56" s="30" t="s">
        <v>306</v>
      </c>
      <c r="J56" s="30" t="s">
        <v>307</v>
      </c>
      <c r="K56" s="30" t="s">
        <v>308</v>
      </c>
      <c r="L56" s="38" t="s">
        <v>22</v>
      </c>
      <c r="M56" s="8">
        <f>COUNTIF($B$1:$B$1191, B56)</f>
        <v>3</v>
      </c>
      <c r="N56" s="8">
        <f>COUNTIF($H$2:$H$1181, H56)</f>
        <v>40</v>
      </c>
    </row>
    <row r="57" spans="1:14">
      <c r="A57" s="32" t="s">
        <v>309</v>
      </c>
      <c r="B57" s="26" t="s">
        <v>310</v>
      </c>
      <c r="C57" s="26" t="s">
        <v>311</v>
      </c>
      <c r="D57" s="33">
        <v>184.85</v>
      </c>
      <c r="E57" s="33">
        <v>429.5</v>
      </c>
      <c r="F57" s="26">
        <v>14</v>
      </c>
      <c r="G57" s="35">
        <f>E57/F57</f>
        <v>30.678571428571427</v>
      </c>
      <c r="H57" s="37" t="s">
        <v>285</v>
      </c>
      <c r="I57" s="26" t="s">
        <v>312</v>
      </c>
      <c r="J57" s="26" t="s">
        <v>313</v>
      </c>
      <c r="K57" s="26" t="s">
        <v>314</v>
      </c>
      <c r="L57" s="39" t="s">
        <v>22</v>
      </c>
      <c r="M57" s="8">
        <f>COUNTIF($B$1:$B$1191, B57)</f>
        <v>2</v>
      </c>
      <c r="N57" s="8">
        <f>COUNTIF($H$2:$H$1181, H57)</f>
        <v>40</v>
      </c>
    </row>
    <row r="58" spans="1:14">
      <c r="A58" s="29" t="s">
        <v>315</v>
      </c>
      <c r="B58" s="30" t="s">
        <v>316</v>
      </c>
      <c r="C58" s="30" t="s">
        <v>317</v>
      </c>
      <c r="D58" s="31">
        <v>157.66999999999999</v>
      </c>
      <c r="E58" s="31">
        <v>810.08</v>
      </c>
      <c r="F58" s="30">
        <v>12</v>
      </c>
      <c r="G58" s="34">
        <f>E58/F58</f>
        <v>67.506666666666675</v>
      </c>
      <c r="H58" s="36" t="s">
        <v>285</v>
      </c>
      <c r="I58" s="30" t="s">
        <v>318</v>
      </c>
      <c r="J58" s="30" t="s">
        <v>319</v>
      </c>
      <c r="K58" s="30" t="s">
        <v>320</v>
      </c>
      <c r="L58" s="38" t="s">
        <v>22</v>
      </c>
      <c r="M58" s="8">
        <f>COUNTIF($B$1:$B$1191, B58)</f>
        <v>1</v>
      </c>
      <c r="N58" s="8">
        <f>COUNTIF($H$2:$H$1181, H58)</f>
        <v>40</v>
      </c>
    </row>
    <row r="59" spans="1:14">
      <c r="A59" s="32" t="s">
        <v>321</v>
      </c>
      <c r="B59" s="26" t="s">
        <v>322</v>
      </c>
      <c r="C59" s="26" t="s">
        <v>323</v>
      </c>
      <c r="D59" s="33">
        <v>103.3</v>
      </c>
      <c r="E59" s="33">
        <v>157.66999999999999</v>
      </c>
      <c r="F59" s="26">
        <v>18</v>
      </c>
      <c r="G59" s="35">
        <f>E59/F59</f>
        <v>8.7594444444444441</v>
      </c>
      <c r="H59" s="37" t="s">
        <v>285</v>
      </c>
      <c r="I59" s="26" t="s">
        <v>324</v>
      </c>
      <c r="J59" s="26" t="s">
        <v>325</v>
      </c>
      <c r="K59" s="26" t="s">
        <v>326</v>
      </c>
      <c r="L59" s="39" t="s">
        <v>22</v>
      </c>
      <c r="M59" s="8">
        <f>COUNTIF($B$1:$B$1191, B59)</f>
        <v>1</v>
      </c>
      <c r="N59" s="8">
        <f>COUNTIF($H$2:$H$1181, H59)</f>
        <v>40</v>
      </c>
    </row>
    <row r="60" spans="1:14">
      <c r="A60" s="29" t="s">
        <v>327</v>
      </c>
      <c r="B60" s="30" t="s">
        <v>328</v>
      </c>
      <c r="C60" s="30" t="s">
        <v>329</v>
      </c>
      <c r="D60" s="31">
        <v>81.55</v>
      </c>
      <c r="E60" s="31">
        <v>135.91999999999999</v>
      </c>
      <c r="F60" s="30">
        <v>3</v>
      </c>
      <c r="G60" s="34">
        <f>E60/F60</f>
        <v>45.306666666666665</v>
      </c>
      <c r="H60" s="36" t="s">
        <v>285</v>
      </c>
      <c r="I60" s="30" t="s">
        <v>330</v>
      </c>
      <c r="J60" s="30" t="s">
        <v>331</v>
      </c>
      <c r="K60" s="30" t="s">
        <v>332</v>
      </c>
      <c r="L60" s="38" t="s">
        <v>153</v>
      </c>
      <c r="M60" s="8">
        <f>COUNTIF($B$1:$B$1191, B60)</f>
        <v>1</v>
      </c>
      <c r="N60" s="8">
        <f>COUNTIF($H$2:$H$1181, H60)</f>
        <v>40</v>
      </c>
    </row>
    <row r="61" spans="1:14">
      <c r="A61" s="32" t="s">
        <v>333</v>
      </c>
      <c r="B61" s="26" t="s">
        <v>334</v>
      </c>
      <c r="C61" s="26" t="s">
        <v>335</v>
      </c>
      <c r="D61" s="33">
        <v>65.239999999999995</v>
      </c>
      <c r="E61" s="33">
        <v>65.239999999999995</v>
      </c>
      <c r="F61" s="26">
        <v>1</v>
      </c>
      <c r="G61" s="35">
        <f>E61/F61</f>
        <v>65.239999999999995</v>
      </c>
      <c r="H61" s="37" t="s">
        <v>285</v>
      </c>
      <c r="I61" s="26" t="s">
        <v>336</v>
      </c>
      <c r="J61" s="26" t="s">
        <v>337</v>
      </c>
      <c r="K61" s="26" t="s">
        <v>338</v>
      </c>
      <c r="L61" s="39" t="s">
        <v>22</v>
      </c>
      <c r="M61" s="8">
        <f>COUNTIF($B$1:$B$1191, B61)</f>
        <v>3</v>
      </c>
      <c r="N61" s="8">
        <f>COUNTIF($H$2:$H$1181, H61)</f>
        <v>40</v>
      </c>
    </row>
    <row r="62" spans="1:14">
      <c r="A62" s="29" t="s">
        <v>339</v>
      </c>
      <c r="B62" s="30" t="s">
        <v>340</v>
      </c>
      <c r="C62" s="30" t="s">
        <v>341</v>
      </c>
      <c r="D62" s="31">
        <v>65.239999999999995</v>
      </c>
      <c r="E62" s="31">
        <v>92.42</v>
      </c>
      <c r="F62" s="30">
        <v>3</v>
      </c>
      <c r="G62" s="34">
        <f>E62/F62</f>
        <v>30.806666666666668</v>
      </c>
      <c r="H62" s="36" t="s">
        <v>285</v>
      </c>
      <c r="I62" s="30" t="s">
        <v>342</v>
      </c>
      <c r="J62" s="30" t="s">
        <v>343</v>
      </c>
      <c r="K62" s="30" t="s">
        <v>344</v>
      </c>
      <c r="L62" s="38" t="s">
        <v>22</v>
      </c>
      <c r="M62" s="8">
        <f>COUNTIF($B$1:$B$1191, B62)</f>
        <v>1</v>
      </c>
      <c r="N62" s="8">
        <f>COUNTIF($H$2:$H$1181, H62)</f>
        <v>40</v>
      </c>
    </row>
    <row r="63" spans="1:14">
      <c r="A63" s="32" t="s">
        <v>345</v>
      </c>
      <c r="B63" s="26" t="s">
        <v>346</v>
      </c>
      <c r="C63" s="26" t="s">
        <v>347</v>
      </c>
      <c r="D63" s="33">
        <v>135.91999999999999</v>
      </c>
      <c r="E63" s="33">
        <v>135.91999999999999</v>
      </c>
      <c r="F63" s="26">
        <v>2</v>
      </c>
      <c r="G63" s="35">
        <f>E63/F63</f>
        <v>67.959999999999994</v>
      </c>
      <c r="H63" s="37" t="s">
        <v>285</v>
      </c>
      <c r="I63" s="26" t="s">
        <v>348</v>
      </c>
      <c r="J63" s="26" t="s">
        <v>349</v>
      </c>
      <c r="K63" s="26" t="s">
        <v>350</v>
      </c>
      <c r="L63" s="39" t="s">
        <v>22</v>
      </c>
      <c r="M63" s="8">
        <f>COUNTIF($B$1:$B$1191, B63)</f>
        <v>11</v>
      </c>
      <c r="N63" s="8">
        <f>COUNTIF($H$2:$H$1181, H63)</f>
        <v>40</v>
      </c>
    </row>
    <row r="64" spans="1:14">
      <c r="A64" s="29" t="s">
        <v>351</v>
      </c>
      <c r="B64" s="30" t="s">
        <v>352</v>
      </c>
      <c r="C64" s="30" t="s">
        <v>353</v>
      </c>
      <c r="D64" s="31">
        <v>97.86</v>
      </c>
      <c r="E64" s="31">
        <v>97.86</v>
      </c>
      <c r="F64" s="30">
        <v>1</v>
      </c>
      <c r="G64" s="34">
        <f>E64/F64</f>
        <v>97.86</v>
      </c>
      <c r="H64" s="36" t="s">
        <v>285</v>
      </c>
      <c r="I64" s="30" t="s">
        <v>354</v>
      </c>
      <c r="J64" s="30" t="s">
        <v>355</v>
      </c>
      <c r="K64" s="30" t="s">
        <v>356</v>
      </c>
      <c r="L64" s="38" t="s">
        <v>22</v>
      </c>
      <c r="M64" s="8">
        <f>COUNTIF($B$1:$B$1191, B64)</f>
        <v>3</v>
      </c>
      <c r="N64" s="8">
        <f>COUNTIF($H$2:$H$1181, H64)</f>
        <v>40</v>
      </c>
    </row>
    <row r="65" spans="1:14">
      <c r="A65" s="32" t="s">
        <v>357</v>
      </c>
      <c r="B65" s="26" t="s">
        <v>358</v>
      </c>
      <c r="C65" s="26" t="s">
        <v>359</v>
      </c>
      <c r="D65" s="33">
        <v>92.42</v>
      </c>
      <c r="E65" s="33">
        <v>108.73</v>
      </c>
      <c r="F65" s="26">
        <v>2</v>
      </c>
      <c r="G65" s="35">
        <f>E65/F65</f>
        <v>54.365000000000002</v>
      </c>
      <c r="H65" s="37" t="s">
        <v>285</v>
      </c>
      <c r="I65" s="26" t="s">
        <v>360</v>
      </c>
      <c r="J65" s="26" t="s">
        <v>361</v>
      </c>
      <c r="K65" s="26" t="s">
        <v>362</v>
      </c>
      <c r="L65" s="39" t="s">
        <v>22</v>
      </c>
      <c r="M65" s="8">
        <f>COUNTIF($B$1:$B$1191, B65)</f>
        <v>2</v>
      </c>
      <c r="N65" s="8">
        <f>COUNTIF($H$2:$H$1181, H65)</f>
        <v>40</v>
      </c>
    </row>
    <row r="66" spans="1:14">
      <c r="A66" s="29" t="s">
        <v>363</v>
      </c>
      <c r="B66" s="30" t="s">
        <v>100</v>
      </c>
      <c r="C66" s="30" t="s">
        <v>101</v>
      </c>
      <c r="D66" s="31">
        <v>119.61</v>
      </c>
      <c r="E66" s="31">
        <v>119.61</v>
      </c>
      <c r="F66" s="30">
        <v>1</v>
      </c>
      <c r="G66" s="34">
        <f>E66/F66</f>
        <v>119.61</v>
      </c>
      <c r="H66" s="36" t="s">
        <v>285</v>
      </c>
      <c r="I66" s="30" t="s">
        <v>364</v>
      </c>
      <c r="J66" s="30" t="s">
        <v>365</v>
      </c>
      <c r="K66" s="30" t="s">
        <v>366</v>
      </c>
      <c r="L66" s="38" t="s">
        <v>22</v>
      </c>
      <c r="M66" s="8">
        <f>COUNTIF($B$1:$B$1191, B66)</f>
        <v>6</v>
      </c>
      <c r="N66" s="8">
        <f>COUNTIF($H$2:$H$1181, H66)</f>
        <v>40</v>
      </c>
    </row>
    <row r="67" spans="1:14">
      <c r="A67" s="32" t="s">
        <v>367</v>
      </c>
      <c r="B67" s="26" t="s">
        <v>368</v>
      </c>
      <c r="C67" s="26" t="s">
        <v>50</v>
      </c>
      <c r="D67" s="33">
        <v>92.42</v>
      </c>
      <c r="E67" s="33">
        <v>103.3</v>
      </c>
      <c r="F67" s="26">
        <v>2</v>
      </c>
      <c r="G67" s="35">
        <f>E67/F67</f>
        <v>51.65</v>
      </c>
      <c r="H67" s="37" t="s">
        <v>285</v>
      </c>
      <c r="I67" s="26" t="s">
        <v>369</v>
      </c>
      <c r="J67" s="26" t="s">
        <v>370</v>
      </c>
      <c r="K67" s="26" t="s">
        <v>371</v>
      </c>
      <c r="L67" s="39" t="s">
        <v>22</v>
      </c>
      <c r="M67" s="8">
        <f>COUNTIF($B$1:$B$1191, B67)</f>
        <v>9</v>
      </c>
      <c r="N67" s="8">
        <f>COUNTIF($H$2:$H$1181, H67)</f>
        <v>40</v>
      </c>
    </row>
    <row r="68" spans="1:14">
      <c r="A68" s="29" t="s">
        <v>372</v>
      </c>
      <c r="B68" s="30" t="s">
        <v>373</v>
      </c>
      <c r="C68" s="30" t="s">
        <v>374</v>
      </c>
      <c r="D68" s="31">
        <v>81.55</v>
      </c>
      <c r="E68" s="31">
        <v>81.55</v>
      </c>
      <c r="F68" s="30">
        <v>2</v>
      </c>
      <c r="G68" s="34">
        <f>E68/F68</f>
        <v>40.774999999999999</v>
      </c>
      <c r="H68" s="36" t="s">
        <v>285</v>
      </c>
      <c r="I68" s="30" t="s">
        <v>375</v>
      </c>
      <c r="J68" s="30" t="s">
        <v>376</v>
      </c>
      <c r="K68" s="30" t="s">
        <v>377</v>
      </c>
      <c r="L68" s="38" t="s">
        <v>22</v>
      </c>
      <c r="M68" s="8">
        <f>COUNTIF($B$1:$B$1191, B68)</f>
        <v>2</v>
      </c>
      <c r="N68" s="8">
        <f>COUNTIF($H$2:$H$1181, H68)</f>
        <v>40</v>
      </c>
    </row>
    <row r="69" spans="1:14">
      <c r="A69" s="32" t="s">
        <v>378</v>
      </c>
      <c r="B69" s="26" t="s">
        <v>379</v>
      </c>
      <c r="C69" s="26" t="s">
        <v>379</v>
      </c>
      <c r="D69" s="33">
        <v>114.17</v>
      </c>
      <c r="E69" s="33">
        <v>114.17</v>
      </c>
      <c r="F69" s="26">
        <v>2</v>
      </c>
      <c r="G69" s="35">
        <f>E69/F69</f>
        <v>57.085000000000001</v>
      </c>
      <c r="H69" s="37" t="s">
        <v>285</v>
      </c>
      <c r="I69" s="26" t="s">
        <v>380</v>
      </c>
      <c r="J69" s="26" t="s">
        <v>381</v>
      </c>
      <c r="K69" s="26" t="s">
        <v>382</v>
      </c>
      <c r="L69" s="39" t="s">
        <v>22</v>
      </c>
      <c r="M69" s="8">
        <f>COUNTIF($B$1:$B$1191, B69)</f>
        <v>19</v>
      </c>
      <c r="N69" s="8">
        <f>COUNTIF($H$2:$H$1181, H69)</f>
        <v>40</v>
      </c>
    </row>
    <row r="70" spans="1:14">
      <c r="A70" s="29" t="s">
        <v>383</v>
      </c>
      <c r="B70" s="30" t="s">
        <v>384</v>
      </c>
      <c r="C70" s="30" t="s">
        <v>385</v>
      </c>
      <c r="D70" s="31">
        <v>91.88</v>
      </c>
      <c r="E70" s="31">
        <v>103.3</v>
      </c>
      <c r="F70" s="30">
        <v>2</v>
      </c>
      <c r="G70" s="34">
        <f>E70/F70</f>
        <v>51.65</v>
      </c>
      <c r="H70" s="36" t="s">
        <v>285</v>
      </c>
      <c r="I70" s="30" t="s">
        <v>386</v>
      </c>
      <c r="J70" s="30" t="s">
        <v>387</v>
      </c>
      <c r="K70" s="30" t="s">
        <v>388</v>
      </c>
      <c r="L70" s="38" t="s">
        <v>22</v>
      </c>
      <c r="M70" s="8">
        <f>COUNTIF($B$1:$B$1191, B70)</f>
        <v>9</v>
      </c>
      <c r="N70" s="8">
        <f>COUNTIF($H$2:$H$1181, H70)</f>
        <v>40</v>
      </c>
    </row>
    <row r="71" spans="1:14">
      <c r="A71" s="32" t="s">
        <v>389</v>
      </c>
      <c r="B71" s="26" t="s">
        <v>368</v>
      </c>
      <c r="C71" s="26" t="s">
        <v>50</v>
      </c>
      <c r="D71" s="33">
        <v>92.42</v>
      </c>
      <c r="E71" s="33">
        <v>103.3</v>
      </c>
      <c r="F71" s="26">
        <v>2</v>
      </c>
      <c r="G71" s="35">
        <f>E71/F71</f>
        <v>51.65</v>
      </c>
      <c r="H71" s="37" t="s">
        <v>285</v>
      </c>
      <c r="I71" s="26" t="s">
        <v>390</v>
      </c>
      <c r="J71" s="26" t="s">
        <v>391</v>
      </c>
      <c r="K71" s="26" t="s">
        <v>392</v>
      </c>
      <c r="L71" s="39" t="s">
        <v>22</v>
      </c>
      <c r="M71" s="8">
        <f>COUNTIF($B$1:$B$1191, B71)</f>
        <v>9</v>
      </c>
      <c r="N71" s="8">
        <f>COUNTIF($H$2:$H$1181, H71)</f>
        <v>40</v>
      </c>
    </row>
    <row r="72" spans="1:14">
      <c r="A72" s="29" t="s">
        <v>393</v>
      </c>
      <c r="B72" s="30" t="s">
        <v>49</v>
      </c>
      <c r="C72" s="30" t="s">
        <v>50</v>
      </c>
      <c r="D72" s="31">
        <v>103.3</v>
      </c>
      <c r="E72" s="31">
        <v>125.05</v>
      </c>
      <c r="F72" s="30">
        <v>2</v>
      </c>
      <c r="G72" s="34">
        <f>E72/F72</f>
        <v>62.524999999999999</v>
      </c>
      <c r="H72" s="36" t="s">
        <v>285</v>
      </c>
      <c r="I72" s="30" t="s">
        <v>394</v>
      </c>
      <c r="J72" s="30" t="s">
        <v>395</v>
      </c>
      <c r="K72" s="30" t="s">
        <v>396</v>
      </c>
      <c r="L72" s="38" t="s">
        <v>22</v>
      </c>
      <c r="M72" s="8">
        <f>COUNTIF($B$1:$B$1191, B72)</f>
        <v>15</v>
      </c>
      <c r="N72" s="8">
        <f>COUNTIF($H$2:$H$1181, H72)</f>
        <v>40</v>
      </c>
    </row>
    <row r="73" spans="1:14">
      <c r="A73" s="32" t="s">
        <v>397</v>
      </c>
      <c r="B73" s="26" t="s">
        <v>398</v>
      </c>
      <c r="C73" s="26" t="s">
        <v>399</v>
      </c>
      <c r="D73" s="33">
        <v>103.3</v>
      </c>
      <c r="E73" s="33">
        <v>206.6</v>
      </c>
      <c r="F73" s="26">
        <v>2</v>
      </c>
      <c r="G73" s="35">
        <f>E73/F73</f>
        <v>103.3</v>
      </c>
      <c r="H73" s="37" t="s">
        <v>285</v>
      </c>
      <c r="I73" s="26" t="s">
        <v>400</v>
      </c>
      <c r="J73" s="26" t="s">
        <v>401</v>
      </c>
      <c r="K73" s="26" t="s">
        <v>402</v>
      </c>
      <c r="L73" s="39" t="s">
        <v>22</v>
      </c>
      <c r="M73" s="8">
        <f>COUNTIF($B$1:$B$1191, B73)</f>
        <v>2</v>
      </c>
      <c r="N73" s="8">
        <f>COUNTIF($H$2:$H$1181, H73)</f>
        <v>40</v>
      </c>
    </row>
    <row r="74" spans="1:14">
      <c r="A74" s="29" t="s">
        <v>403</v>
      </c>
      <c r="B74" s="30" t="s">
        <v>404</v>
      </c>
      <c r="C74" s="30" t="s">
        <v>405</v>
      </c>
      <c r="D74" s="31">
        <v>59.8</v>
      </c>
      <c r="E74" s="31">
        <v>59.8</v>
      </c>
      <c r="F74" s="30">
        <v>1</v>
      </c>
      <c r="G74" s="34">
        <f>E74/F74</f>
        <v>59.8</v>
      </c>
      <c r="H74" s="36" t="s">
        <v>285</v>
      </c>
      <c r="I74" s="30" t="s">
        <v>406</v>
      </c>
      <c r="J74" s="30" t="s">
        <v>407</v>
      </c>
      <c r="K74" s="30" t="s">
        <v>408</v>
      </c>
      <c r="L74" s="38" t="s">
        <v>22</v>
      </c>
      <c r="M74" s="8">
        <f>COUNTIF($B$1:$B$1191, B74)</f>
        <v>3</v>
      </c>
      <c r="N74" s="8">
        <f>COUNTIF($H$2:$H$1181, H74)</f>
        <v>40</v>
      </c>
    </row>
    <row r="75" spans="1:14">
      <c r="A75" s="32" t="s">
        <v>409</v>
      </c>
      <c r="B75" s="26" t="s">
        <v>410</v>
      </c>
      <c r="C75" s="26" t="s">
        <v>411</v>
      </c>
      <c r="D75" s="33">
        <v>135.91999999999999</v>
      </c>
      <c r="E75" s="33">
        <v>135.91999999999999</v>
      </c>
      <c r="F75" s="26">
        <v>1</v>
      </c>
      <c r="G75" s="35">
        <f>E75/F75</f>
        <v>135.91999999999999</v>
      </c>
      <c r="H75" s="37" t="s">
        <v>285</v>
      </c>
      <c r="I75" s="26" t="s">
        <v>412</v>
      </c>
      <c r="J75" s="26" t="s">
        <v>413</v>
      </c>
      <c r="K75" s="26" t="s">
        <v>414</v>
      </c>
      <c r="L75" s="39" t="s">
        <v>22</v>
      </c>
      <c r="M75" s="8">
        <f>COUNTIF($B$1:$B$1191, B75)</f>
        <v>1</v>
      </c>
      <c r="N75" s="8">
        <f>COUNTIF($H$2:$H$1181, H75)</f>
        <v>40</v>
      </c>
    </row>
    <row r="76" spans="1:14">
      <c r="A76" s="29" t="s">
        <v>415</v>
      </c>
      <c r="B76" s="30" t="s">
        <v>352</v>
      </c>
      <c r="C76" s="30" t="s">
        <v>353</v>
      </c>
      <c r="D76" s="31">
        <v>103.3</v>
      </c>
      <c r="E76" s="31">
        <v>103.3</v>
      </c>
      <c r="F76" s="30">
        <v>1</v>
      </c>
      <c r="G76" s="34">
        <f>E76/F76</f>
        <v>103.3</v>
      </c>
      <c r="H76" s="36" t="s">
        <v>285</v>
      </c>
      <c r="I76" s="30" t="s">
        <v>416</v>
      </c>
      <c r="J76" s="30" t="s">
        <v>417</v>
      </c>
      <c r="K76" s="30" t="s">
        <v>418</v>
      </c>
      <c r="L76" s="38" t="s">
        <v>22</v>
      </c>
      <c r="M76" s="8">
        <f>COUNTIF($B$1:$B$1191, B76)</f>
        <v>3</v>
      </c>
      <c r="N76" s="8">
        <f>COUNTIF($H$2:$H$1181, H76)</f>
        <v>40</v>
      </c>
    </row>
    <row r="77" spans="1:14">
      <c r="A77" s="32" t="s">
        <v>419</v>
      </c>
      <c r="B77" s="26" t="s">
        <v>420</v>
      </c>
      <c r="C77" s="26" t="s">
        <v>421</v>
      </c>
      <c r="D77" s="33">
        <v>157.66999999999999</v>
      </c>
      <c r="E77" s="33">
        <v>157.66999999999999</v>
      </c>
      <c r="F77" s="26">
        <v>1</v>
      </c>
      <c r="G77" s="35">
        <f>E77/F77</f>
        <v>157.66999999999999</v>
      </c>
      <c r="H77" s="37" t="s">
        <v>285</v>
      </c>
      <c r="I77" s="26" t="s">
        <v>422</v>
      </c>
      <c r="J77" s="26" t="s">
        <v>423</v>
      </c>
      <c r="K77" s="26" t="s">
        <v>424</v>
      </c>
      <c r="L77" s="39" t="s">
        <v>22</v>
      </c>
      <c r="M77" s="8">
        <f>COUNTIF($B$1:$B$1191, B77)</f>
        <v>1</v>
      </c>
      <c r="N77" s="8">
        <f>COUNTIF($H$2:$H$1181, H77)</f>
        <v>40</v>
      </c>
    </row>
    <row r="78" spans="1:14">
      <c r="A78" s="29" t="s">
        <v>425</v>
      </c>
      <c r="B78" s="30" t="s">
        <v>426</v>
      </c>
      <c r="C78" s="30" t="s">
        <v>427</v>
      </c>
      <c r="D78" s="31">
        <v>119.61</v>
      </c>
      <c r="E78" s="31">
        <v>119.61</v>
      </c>
      <c r="F78" s="30">
        <v>1</v>
      </c>
      <c r="G78" s="34">
        <f>E78/F78</f>
        <v>119.61</v>
      </c>
      <c r="H78" s="36" t="s">
        <v>285</v>
      </c>
      <c r="I78" s="30" t="s">
        <v>428</v>
      </c>
      <c r="J78" s="30" t="s">
        <v>429</v>
      </c>
      <c r="K78" s="30" t="s">
        <v>430</v>
      </c>
      <c r="L78" s="38" t="s">
        <v>22</v>
      </c>
      <c r="M78" s="8">
        <f>COUNTIF($B$1:$B$1191, B78)</f>
        <v>2</v>
      </c>
      <c r="N78" s="8">
        <f>COUNTIF($H$2:$H$1181, H78)</f>
        <v>40</v>
      </c>
    </row>
    <row r="79" spans="1:14">
      <c r="A79" s="32" t="s">
        <v>431</v>
      </c>
      <c r="B79" s="26" t="s">
        <v>432</v>
      </c>
      <c r="C79" s="26" t="s">
        <v>433</v>
      </c>
      <c r="D79" s="33">
        <v>86.99</v>
      </c>
      <c r="E79" s="33">
        <v>86.99</v>
      </c>
      <c r="F79" s="26">
        <v>1</v>
      </c>
      <c r="G79" s="35">
        <f>E79/F79</f>
        <v>86.99</v>
      </c>
      <c r="H79" s="37" t="s">
        <v>285</v>
      </c>
      <c r="I79" s="26" t="s">
        <v>434</v>
      </c>
      <c r="J79" s="26" t="s">
        <v>435</v>
      </c>
      <c r="K79" s="26" t="s">
        <v>436</v>
      </c>
      <c r="L79" s="39" t="s">
        <v>22</v>
      </c>
      <c r="M79" s="8">
        <f>COUNTIF($B$1:$B$1191, B79)</f>
        <v>10</v>
      </c>
      <c r="N79" s="8">
        <f>COUNTIF($H$2:$H$1181, H79)</f>
        <v>40</v>
      </c>
    </row>
    <row r="80" spans="1:14">
      <c r="A80" s="29" t="s">
        <v>437</v>
      </c>
      <c r="B80" s="30" t="s">
        <v>438</v>
      </c>
      <c r="C80" s="30" t="s">
        <v>439</v>
      </c>
      <c r="D80" s="31">
        <v>86.99</v>
      </c>
      <c r="E80" s="31">
        <v>97.86</v>
      </c>
      <c r="F80" s="30">
        <v>2</v>
      </c>
      <c r="G80" s="34">
        <f>E80/F80</f>
        <v>48.93</v>
      </c>
      <c r="H80" s="36" t="s">
        <v>285</v>
      </c>
      <c r="I80" s="30" t="s">
        <v>440</v>
      </c>
      <c r="J80" s="30" t="s">
        <v>441</v>
      </c>
      <c r="K80" s="30" t="s">
        <v>442</v>
      </c>
      <c r="L80" s="38" t="s">
        <v>22</v>
      </c>
      <c r="M80" s="8">
        <f>COUNTIF($B$1:$B$1191, B80)</f>
        <v>14</v>
      </c>
      <c r="N80" s="8">
        <f>COUNTIF($H$2:$H$1181, H80)</f>
        <v>40</v>
      </c>
    </row>
    <row r="81" spans="1:14">
      <c r="A81" s="32" t="s">
        <v>443</v>
      </c>
      <c r="B81" s="26" t="s">
        <v>444</v>
      </c>
      <c r="C81" s="26" t="s">
        <v>444</v>
      </c>
      <c r="D81" s="33">
        <v>81.55</v>
      </c>
      <c r="E81" s="33">
        <v>92.42</v>
      </c>
      <c r="F81" s="26">
        <v>3</v>
      </c>
      <c r="G81" s="35">
        <f>E81/F81</f>
        <v>30.806666666666668</v>
      </c>
      <c r="H81" s="37" t="s">
        <v>285</v>
      </c>
      <c r="I81" s="26" t="s">
        <v>445</v>
      </c>
      <c r="J81" s="26" t="s">
        <v>446</v>
      </c>
      <c r="K81" s="26" t="s">
        <v>447</v>
      </c>
      <c r="L81" s="39" t="s">
        <v>22</v>
      </c>
      <c r="M81" s="8">
        <f>COUNTIF($B$1:$B$1191, B81)</f>
        <v>3</v>
      </c>
      <c r="N81" s="8">
        <f>COUNTIF($H$2:$H$1181, H81)</f>
        <v>40</v>
      </c>
    </row>
    <row r="82" spans="1:14">
      <c r="A82" s="29" t="s">
        <v>448</v>
      </c>
      <c r="B82" s="30" t="s">
        <v>449</v>
      </c>
      <c r="C82" s="30" t="s">
        <v>450</v>
      </c>
      <c r="D82" s="31">
        <v>48.93</v>
      </c>
      <c r="E82" s="31">
        <v>48.93</v>
      </c>
      <c r="F82" s="30">
        <v>1</v>
      </c>
      <c r="G82" s="34">
        <f>E82/F82</f>
        <v>48.93</v>
      </c>
      <c r="H82" s="36" t="s">
        <v>285</v>
      </c>
      <c r="I82" s="30" t="s">
        <v>451</v>
      </c>
      <c r="J82" s="30" t="s">
        <v>452</v>
      </c>
      <c r="K82" s="30" t="s">
        <v>453</v>
      </c>
      <c r="L82" s="38" t="s">
        <v>22</v>
      </c>
      <c r="M82" s="8">
        <f>COUNTIF($B$1:$B$1191, B82)</f>
        <v>1</v>
      </c>
      <c r="N82" s="8">
        <f>COUNTIF($H$2:$H$1181, H82)</f>
        <v>40</v>
      </c>
    </row>
    <row r="83" spans="1:14">
      <c r="A83" s="32" t="s">
        <v>454</v>
      </c>
      <c r="B83" s="26" t="s">
        <v>455</v>
      </c>
      <c r="C83" s="26" t="s">
        <v>456</v>
      </c>
      <c r="D83" s="33">
        <v>65.239999999999995</v>
      </c>
      <c r="E83" s="33">
        <v>65.239999999999995</v>
      </c>
      <c r="F83" s="26">
        <v>1</v>
      </c>
      <c r="G83" s="35">
        <f>E83/F83</f>
        <v>65.239999999999995</v>
      </c>
      <c r="H83" s="37" t="s">
        <v>285</v>
      </c>
      <c r="I83" s="26" t="s">
        <v>457</v>
      </c>
      <c r="J83" s="26" t="s">
        <v>458</v>
      </c>
      <c r="K83" s="26" t="s">
        <v>459</v>
      </c>
      <c r="L83" s="39" t="s">
        <v>22</v>
      </c>
      <c r="M83" s="8">
        <f>COUNTIF($B$1:$B$1191, B83)</f>
        <v>7</v>
      </c>
      <c r="N83" s="8">
        <f>COUNTIF($H$2:$H$1181, H83)</f>
        <v>40</v>
      </c>
    </row>
    <row r="84" spans="1:14">
      <c r="A84" s="29" t="s">
        <v>460</v>
      </c>
      <c r="B84" s="30" t="s">
        <v>455</v>
      </c>
      <c r="C84" s="30" t="s">
        <v>456</v>
      </c>
      <c r="D84" s="31">
        <v>59.8</v>
      </c>
      <c r="E84" s="31">
        <v>81.55</v>
      </c>
      <c r="F84" s="30">
        <v>2</v>
      </c>
      <c r="G84" s="34">
        <f>E84/F84</f>
        <v>40.774999999999999</v>
      </c>
      <c r="H84" s="36" t="s">
        <v>285</v>
      </c>
      <c r="I84" s="30" t="s">
        <v>461</v>
      </c>
      <c r="J84" s="30" t="s">
        <v>462</v>
      </c>
      <c r="K84" s="30" t="s">
        <v>463</v>
      </c>
      <c r="L84" s="38" t="s">
        <v>22</v>
      </c>
      <c r="M84" s="8">
        <f>COUNTIF($B$1:$B$1191, B84)</f>
        <v>7</v>
      </c>
      <c r="N84" s="8">
        <f>COUNTIF($H$2:$H$1181, H84)</f>
        <v>40</v>
      </c>
    </row>
    <row r="85" spans="1:14">
      <c r="A85" s="32" t="s">
        <v>464</v>
      </c>
      <c r="B85" s="26" t="s">
        <v>465</v>
      </c>
      <c r="C85" s="26" t="s">
        <v>466</v>
      </c>
      <c r="D85" s="33">
        <v>81.55</v>
      </c>
      <c r="E85" s="33">
        <v>81.55</v>
      </c>
      <c r="F85" s="26">
        <v>1</v>
      </c>
      <c r="G85" s="35">
        <f>E85/F85</f>
        <v>81.55</v>
      </c>
      <c r="H85" s="37" t="s">
        <v>285</v>
      </c>
      <c r="I85" s="26" t="s">
        <v>467</v>
      </c>
      <c r="J85" s="26" t="s">
        <v>468</v>
      </c>
      <c r="K85" s="26" t="s">
        <v>469</v>
      </c>
      <c r="L85" s="39" t="s">
        <v>22</v>
      </c>
      <c r="M85" s="8">
        <f>COUNTIF($B$1:$B$1191, B85)</f>
        <v>8</v>
      </c>
      <c r="N85" s="8">
        <f>COUNTIF($H$2:$H$1181, H85)</f>
        <v>40</v>
      </c>
    </row>
    <row r="86" spans="1:14">
      <c r="A86" s="29" t="s">
        <v>470</v>
      </c>
      <c r="B86" s="30" t="s">
        <v>465</v>
      </c>
      <c r="C86" s="30" t="s">
        <v>466</v>
      </c>
      <c r="D86" s="31">
        <v>81.55</v>
      </c>
      <c r="E86" s="31">
        <v>81.55</v>
      </c>
      <c r="F86" s="30">
        <v>1</v>
      </c>
      <c r="G86" s="34">
        <f>E86/F86</f>
        <v>81.55</v>
      </c>
      <c r="H86" s="36" t="s">
        <v>285</v>
      </c>
      <c r="I86" s="30" t="s">
        <v>471</v>
      </c>
      <c r="J86" s="30" t="s">
        <v>472</v>
      </c>
      <c r="K86" s="30" t="s">
        <v>473</v>
      </c>
      <c r="L86" s="38" t="s">
        <v>22</v>
      </c>
      <c r="M86" s="8">
        <f>COUNTIF($B$1:$B$1191, B86)</f>
        <v>8</v>
      </c>
      <c r="N86" s="8">
        <f>COUNTIF($H$2:$H$1181, H86)</f>
        <v>40</v>
      </c>
    </row>
    <row r="87" spans="1:14">
      <c r="A87" s="32" t="s">
        <v>474</v>
      </c>
      <c r="B87" s="26" t="s">
        <v>465</v>
      </c>
      <c r="C87" s="26" t="s">
        <v>466</v>
      </c>
      <c r="D87" s="33">
        <v>81.55</v>
      </c>
      <c r="E87" s="33">
        <v>81.55</v>
      </c>
      <c r="F87" s="26">
        <v>1</v>
      </c>
      <c r="G87" s="35">
        <f>E87/F87</f>
        <v>81.55</v>
      </c>
      <c r="H87" s="37" t="s">
        <v>285</v>
      </c>
      <c r="I87" s="26" t="s">
        <v>475</v>
      </c>
      <c r="J87" s="26" t="s">
        <v>476</v>
      </c>
      <c r="K87" s="26" t="s">
        <v>477</v>
      </c>
      <c r="L87" s="39" t="s">
        <v>22</v>
      </c>
      <c r="M87" s="8">
        <f>COUNTIF($B$1:$B$1191, B87)</f>
        <v>8</v>
      </c>
      <c r="N87" s="8">
        <f>COUNTIF($H$2:$H$1181, H87)</f>
        <v>40</v>
      </c>
    </row>
    <row r="88" spans="1:14">
      <c r="A88" s="29" t="s">
        <v>478</v>
      </c>
      <c r="B88" s="30" t="s">
        <v>479</v>
      </c>
      <c r="C88" s="30" t="s">
        <v>480</v>
      </c>
      <c r="D88" s="31">
        <v>48.93</v>
      </c>
      <c r="E88" s="31">
        <v>81.55</v>
      </c>
      <c r="F88" s="30">
        <v>4</v>
      </c>
      <c r="G88" s="34">
        <f>E88/F88</f>
        <v>20.387499999999999</v>
      </c>
      <c r="H88" s="36" t="s">
        <v>285</v>
      </c>
      <c r="I88" s="30" t="s">
        <v>481</v>
      </c>
      <c r="J88" s="30" t="s">
        <v>482</v>
      </c>
      <c r="K88" s="30" t="s">
        <v>483</v>
      </c>
      <c r="L88" s="38" t="s">
        <v>22</v>
      </c>
      <c r="M88" s="8">
        <f>COUNTIF($B$1:$B$1191, B88)</f>
        <v>2</v>
      </c>
      <c r="N88" s="8">
        <f>COUNTIF($H$2:$H$1181, H88)</f>
        <v>40</v>
      </c>
    </row>
    <row r="89" spans="1:14">
      <c r="A89" s="32" t="s">
        <v>484</v>
      </c>
      <c r="B89" s="26" t="s">
        <v>485</v>
      </c>
      <c r="C89" s="26" t="s">
        <v>485</v>
      </c>
      <c r="D89" s="33">
        <v>271.83999999999997</v>
      </c>
      <c r="E89" s="33">
        <v>271.83999999999997</v>
      </c>
      <c r="F89" s="26">
        <v>1</v>
      </c>
      <c r="G89" s="35">
        <f>E89/F89</f>
        <v>271.83999999999997</v>
      </c>
      <c r="H89" s="37" t="s">
        <v>285</v>
      </c>
      <c r="I89" s="26" t="s">
        <v>486</v>
      </c>
      <c r="J89" s="26" t="s">
        <v>487</v>
      </c>
      <c r="K89" s="26" t="s">
        <v>488</v>
      </c>
      <c r="L89" s="39" t="s">
        <v>22</v>
      </c>
      <c r="M89" s="8">
        <f>COUNTIF($B$1:$B$1191, B89)</f>
        <v>2</v>
      </c>
      <c r="N89" s="8">
        <f>COUNTIF($H$2:$H$1181, H89)</f>
        <v>40</v>
      </c>
    </row>
    <row r="90" spans="1:14">
      <c r="A90" s="29" t="s">
        <v>489</v>
      </c>
      <c r="B90" s="30" t="s">
        <v>485</v>
      </c>
      <c r="C90" s="30" t="s">
        <v>485</v>
      </c>
      <c r="D90" s="31">
        <v>271.83999999999997</v>
      </c>
      <c r="E90" s="31">
        <v>271.83999999999997</v>
      </c>
      <c r="F90" s="30">
        <v>1</v>
      </c>
      <c r="G90" s="34">
        <f>E90/F90</f>
        <v>271.83999999999997</v>
      </c>
      <c r="H90" s="36" t="s">
        <v>285</v>
      </c>
      <c r="I90" s="30" t="s">
        <v>490</v>
      </c>
      <c r="J90" s="30" t="s">
        <v>491</v>
      </c>
      <c r="K90" s="30" t="s">
        <v>492</v>
      </c>
      <c r="L90" s="38" t="s">
        <v>22</v>
      </c>
      <c r="M90" s="8">
        <f>COUNTIF($B$1:$B$1191, B90)</f>
        <v>2</v>
      </c>
      <c r="N90" s="8">
        <f>COUNTIF($H$2:$H$1181, H90)</f>
        <v>40</v>
      </c>
    </row>
    <row r="91" spans="1:14">
      <c r="A91" s="32" t="s">
        <v>493</v>
      </c>
      <c r="B91" s="26" t="s">
        <v>49</v>
      </c>
      <c r="C91" s="26" t="s">
        <v>50</v>
      </c>
      <c r="D91" s="33">
        <v>103.3</v>
      </c>
      <c r="E91" s="33">
        <v>125.05</v>
      </c>
      <c r="F91" s="26">
        <v>2</v>
      </c>
      <c r="G91" s="35">
        <f>E91/F91</f>
        <v>62.524999999999999</v>
      </c>
      <c r="H91" s="37" t="s">
        <v>285</v>
      </c>
      <c r="I91" s="26" t="s">
        <v>494</v>
      </c>
      <c r="J91" s="26" t="s">
        <v>495</v>
      </c>
      <c r="K91" s="26" t="s">
        <v>496</v>
      </c>
      <c r="L91" s="39" t="s">
        <v>22</v>
      </c>
      <c r="M91" s="8">
        <f>COUNTIF($B$1:$B$1191, B91)</f>
        <v>15</v>
      </c>
      <c r="N91" s="8">
        <f>COUNTIF($H$2:$H$1181, H91)</f>
        <v>40</v>
      </c>
    </row>
    <row r="92" spans="1:14">
      <c r="A92" s="29" t="s">
        <v>497</v>
      </c>
      <c r="B92" s="30" t="s">
        <v>498</v>
      </c>
      <c r="C92" s="30" t="s">
        <v>499</v>
      </c>
      <c r="D92" s="31">
        <v>92.42</v>
      </c>
      <c r="E92" s="31">
        <v>130.47999999999999</v>
      </c>
      <c r="F92" s="30">
        <v>2</v>
      </c>
      <c r="G92" s="34">
        <f>E92/F92</f>
        <v>65.239999999999995</v>
      </c>
      <c r="H92" s="36" t="s">
        <v>500</v>
      </c>
      <c r="I92" s="30" t="s">
        <v>501</v>
      </c>
      <c r="J92" s="30" t="s">
        <v>502</v>
      </c>
      <c r="K92" s="30" t="s">
        <v>503</v>
      </c>
      <c r="L92" s="38" t="s">
        <v>22</v>
      </c>
      <c r="M92" s="8">
        <f>COUNTIF($B$1:$B$1191, B92)</f>
        <v>9</v>
      </c>
      <c r="N92" s="8">
        <f>COUNTIF($H$2:$H$1181, H92)</f>
        <v>27</v>
      </c>
    </row>
    <row r="93" spans="1:14">
      <c r="A93" s="32" t="s">
        <v>504</v>
      </c>
      <c r="B93" s="26" t="s">
        <v>505</v>
      </c>
      <c r="C93" s="26" t="s">
        <v>506</v>
      </c>
      <c r="D93" s="33">
        <v>266.39999999999998</v>
      </c>
      <c r="E93" s="33">
        <v>266.39999999999998</v>
      </c>
      <c r="F93" s="26">
        <v>1</v>
      </c>
      <c r="G93" s="35">
        <f>E93/F93</f>
        <v>266.39999999999998</v>
      </c>
      <c r="H93" s="37" t="s">
        <v>500</v>
      </c>
      <c r="I93" s="26" t="s">
        <v>507</v>
      </c>
      <c r="J93" s="26" t="s">
        <v>508</v>
      </c>
      <c r="K93" s="26" t="s">
        <v>509</v>
      </c>
      <c r="L93" s="39" t="s">
        <v>22</v>
      </c>
      <c r="M93" s="8">
        <f>COUNTIF($B$1:$B$1191, B93)</f>
        <v>4</v>
      </c>
      <c r="N93" s="8">
        <f>COUNTIF($H$2:$H$1181, H93)</f>
        <v>27</v>
      </c>
    </row>
    <row r="94" spans="1:14">
      <c r="A94" s="29" t="s">
        <v>510</v>
      </c>
      <c r="B94" s="30" t="s">
        <v>511</v>
      </c>
      <c r="C94" s="30" t="s">
        <v>512</v>
      </c>
      <c r="D94" s="31">
        <v>108.73</v>
      </c>
      <c r="E94" s="31">
        <v>190.29</v>
      </c>
      <c r="F94" s="30">
        <v>3</v>
      </c>
      <c r="G94" s="34">
        <f>E94/F94</f>
        <v>63.43</v>
      </c>
      <c r="H94" s="36" t="s">
        <v>500</v>
      </c>
      <c r="I94" s="30" t="s">
        <v>513</v>
      </c>
      <c r="J94" s="30" t="s">
        <v>514</v>
      </c>
      <c r="K94" s="30" t="s">
        <v>515</v>
      </c>
      <c r="L94" s="38" t="s">
        <v>22</v>
      </c>
      <c r="M94" s="8">
        <f>COUNTIF($B$1:$B$1191, B94)</f>
        <v>2</v>
      </c>
      <c r="N94" s="8">
        <f>COUNTIF($H$2:$H$1181, H94)</f>
        <v>27</v>
      </c>
    </row>
    <row r="95" spans="1:14">
      <c r="A95" s="32" t="s">
        <v>516</v>
      </c>
      <c r="B95" s="26" t="s">
        <v>517</v>
      </c>
      <c r="C95" s="26" t="s">
        <v>518</v>
      </c>
      <c r="D95" s="33">
        <v>103.3</v>
      </c>
      <c r="E95" s="33">
        <v>114.17</v>
      </c>
      <c r="F95" s="26">
        <v>2</v>
      </c>
      <c r="G95" s="35">
        <f>E95/F95</f>
        <v>57.085000000000001</v>
      </c>
      <c r="H95" s="37" t="s">
        <v>500</v>
      </c>
      <c r="I95" s="26" t="s">
        <v>519</v>
      </c>
      <c r="J95" s="26" t="s">
        <v>520</v>
      </c>
      <c r="K95" s="26" t="s">
        <v>521</v>
      </c>
      <c r="L95" s="39" t="s">
        <v>22</v>
      </c>
      <c r="M95" s="8">
        <f>COUNTIF($B$1:$B$1191, B95)</f>
        <v>12</v>
      </c>
      <c r="N95" s="8">
        <f>COUNTIF($H$2:$H$1181, H95)</f>
        <v>27</v>
      </c>
    </row>
    <row r="96" spans="1:14">
      <c r="A96" s="29" t="s">
        <v>522</v>
      </c>
      <c r="B96" s="30" t="s">
        <v>523</v>
      </c>
      <c r="C96" s="30" t="s">
        <v>524</v>
      </c>
      <c r="D96" s="31">
        <v>125.05</v>
      </c>
      <c r="E96" s="31">
        <v>135.91999999999999</v>
      </c>
      <c r="F96" s="30">
        <v>2</v>
      </c>
      <c r="G96" s="34">
        <f>E96/F96</f>
        <v>67.959999999999994</v>
      </c>
      <c r="H96" s="36" t="s">
        <v>500</v>
      </c>
      <c r="I96" s="30" t="s">
        <v>525</v>
      </c>
      <c r="J96" s="30" t="s">
        <v>526</v>
      </c>
      <c r="K96" s="30" t="s">
        <v>527</v>
      </c>
      <c r="L96" s="38" t="s">
        <v>22</v>
      </c>
      <c r="M96" s="8">
        <f>COUNTIF($B$1:$B$1191, B96)</f>
        <v>2</v>
      </c>
      <c r="N96" s="8">
        <f>COUNTIF($H$2:$H$1181, H96)</f>
        <v>27</v>
      </c>
    </row>
    <row r="97" spans="1:14">
      <c r="A97" s="32" t="s">
        <v>528</v>
      </c>
      <c r="B97" s="26" t="s">
        <v>16</v>
      </c>
      <c r="C97" s="26" t="s">
        <v>17</v>
      </c>
      <c r="D97" s="33">
        <v>108.73</v>
      </c>
      <c r="E97" s="33">
        <v>3533.88</v>
      </c>
      <c r="F97" s="26">
        <v>36</v>
      </c>
      <c r="G97" s="35">
        <f>E97/F97</f>
        <v>98.163333333333341</v>
      </c>
      <c r="H97" s="37" t="s">
        <v>500</v>
      </c>
      <c r="I97" s="26" t="s">
        <v>529</v>
      </c>
      <c r="J97" s="26" t="s">
        <v>530</v>
      </c>
      <c r="K97" s="26" t="s">
        <v>531</v>
      </c>
      <c r="L97" s="39" t="s">
        <v>22</v>
      </c>
      <c r="M97" s="8">
        <f>COUNTIF($B$1:$B$1191, B97)</f>
        <v>6</v>
      </c>
      <c r="N97" s="8">
        <f>COUNTIF($H$2:$H$1181, H97)</f>
        <v>27</v>
      </c>
    </row>
    <row r="98" spans="1:14">
      <c r="A98" s="29" t="s">
        <v>532</v>
      </c>
      <c r="B98" s="30" t="s">
        <v>533</v>
      </c>
      <c r="C98" s="30" t="s">
        <v>533</v>
      </c>
      <c r="D98" s="31">
        <v>70.680000000000007</v>
      </c>
      <c r="E98" s="31">
        <v>86.99</v>
      </c>
      <c r="F98" s="30">
        <v>3</v>
      </c>
      <c r="G98" s="34">
        <f>E98/F98</f>
        <v>28.996666666666666</v>
      </c>
      <c r="H98" s="36" t="s">
        <v>500</v>
      </c>
      <c r="I98" s="30" t="s">
        <v>534</v>
      </c>
      <c r="J98" s="30" t="s">
        <v>535</v>
      </c>
      <c r="K98" s="30" t="s">
        <v>536</v>
      </c>
      <c r="L98" s="38" t="s">
        <v>22</v>
      </c>
      <c r="M98" s="8">
        <f>COUNTIF($B$1:$B$1191, B98)</f>
        <v>1</v>
      </c>
      <c r="N98" s="8">
        <f>COUNTIF($H$2:$H$1181, H98)</f>
        <v>27</v>
      </c>
    </row>
    <row r="99" spans="1:14">
      <c r="A99" s="32" t="s">
        <v>537</v>
      </c>
      <c r="B99" s="26" t="s">
        <v>37</v>
      </c>
      <c r="C99" s="26" t="s">
        <v>38</v>
      </c>
      <c r="D99" s="33">
        <v>108.73</v>
      </c>
      <c r="E99" s="33">
        <v>108.73</v>
      </c>
      <c r="F99" s="26">
        <v>1</v>
      </c>
      <c r="G99" s="35">
        <f>E99/F99</f>
        <v>108.73</v>
      </c>
      <c r="H99" s="37" t="s">
        <v>500</v>
      </c>
      <c r="I99" s="26" t="s">
        <v>538</v>
      </c>
      <c r="J99" s="26" t="s">
        <v>539</v>
      </c>
      <c r="K99" s="26" t="s">
        <v>540</v>
      </c>
      <c r="L99" s="39" t="s">
        <v>22</v>
      </c>
      <c r="M99" s="8">
        <f>COUNTIF($B$1:$B$1191, B99)</f>
        <v>11</v>
      </c>
      <c r="N99" s="8">
        <f>COUNTIF($H$2:$H$1181, H99)</f>
        <v>27</v>
      </c>
    </row>
    <row r="100" spans="1:14">
      <c r="A100" s="29" t="s">
        <v>541</v>
      </c>
      <c r="B100" s="30" t="s">
        <v>542</v>
      </c>
      <c r="C100" s="30" t="s">
        <v>543</v>
      </c>
      <c r="D100" s="31">
        <v>103.3</v>
      </c>
      <c r="E100" s="31">
        <v>483.87</v>
      </c>
      <c r="F100" s="30">
        <v>135</v>
      </c>
      <c r="G100" s="34">
        <f>E100/F100</f>
        <v>3.5842222222222224</v>
      </c>
      <c r="H100" s="36" t="s">
        <v>500</v>
      </c>
      <c r="I100" s="30" t="s">
        <v>544</v>
      </c>
      <c r="J100" s="30" t="s">
        <v>545</v>
      </c>
      <c r="K100" s="30" t="s">
        <v>546</v>
      </c>
      <c r="L100" s="38" t="s">
        <v>153</v>
      </c>
      <c r="M100" s="8">
        <f>COUNTIF($B$1:$B$1191, B100)</f>
        <v>2</v>
      </c>
      <c r="N100" s="8">
        <f>COUNTIF($H$2:$H$1181, H100)</f>
        <v>27</v>
      </c>
    </row>
    <row r="101" spans="1:14">
      <c r="A101" s="32" t="s">
        <v>547</v>
      </c>
      <c r="B101" s="26" t="s">
        <v>548</v>
      </c>
      <c r="C101" s="26" t="s">
        <v>549</v>
      </c>
      <c r="D101" s="33">
        <v>81.55</v>
      </c>
      <c r="E101" s="33">
        <v>516.49</v>
      </c>
      <c r="F101" s="26">
        <v>9</v>
      </c>
      <c r="G101" s="35">
        <f>E101/F101</f>
        <v>57.387777777777778</v>
      </c>
      <c r="H101" s="37" t="s">
        <v>500</v>
      </c>
      <c r="I101" s="26" t="s">
        <v>550</v>
      </c>
      <c r="J101" s="26" t="s">
        <v>551</v>
      </c>
      <c r="K101" s="26" t="s">
        <v>552</v>
      </c>
      <c r="L101" s="39" t="s">
        <v>22</v>
      </c>
      <c r="M101" s="8">
        <f>COUNTIF($B$1:$B$1191, B101)</f>
        <v>2</v>
      </c>
      <c r="N101" s="8">
        <f>COUNTIF($H$2:$H$1181, H101)</f>
        <v>27</v>
      </c>
    </row>
    <row r="102" spans="1:14">
      <c r="A102" s="29" t="s">
        <v>553</v>
      </c>
      <c r="B102" s="30" t="s">
        <v>554</v>
      </c>
      <c r="C102" s="30" t="s">
        <v>555</v>
      </c>
      <c r="D102" s="31">
        <v>70.680000000000007</v>
      </c>
      <c r="E102" s="31">
        <v>70.680000000000007</v>
      </c>
      <c r="F102" s="30">
        <v>1</v>
      </c>
      <c r="G102" s="34">
        <f>E102/F102</f>
        <v>70.680000000000007</v>
      </c>
      <c r="H102" s="36" t="s">
        <v>500</v>
      </c>
      <c r="I102" s="30" t="s">
        <v>556</v>
      </c>
      <c r="J102" s="30" t="s">
        <v>557</v>
      </c>
      <c r="K102" s="30" t="s">
        <v>558</v>
      </c>
      <c r="L102" s="38" t="s">
        <v>22</v>
      </c>
      <c r="M102" s="8">
        <f>COUNTIF($B$1:$B$1191, B102)</f>
        <v>3</v>
      </c>
      <c r="N102" s="8">
        <f>COUNTIF($H$2:$H$1181, H102)</f>
        <v>27</v>
      </c>
    </row>
    <row r="103" spans="1:14">
      <c r="A103" s="32" t="s">
        <v>559</v>
      </c>
      <c r="B103" s="26" t="s">
        <v>300</v>
      </c>
      <c r="C103" s="26" t="s">
        <v>301</v>
      </c>
      <c r="D103" s="33">
        <v>65.239999999999995</v>
      </c>
      <c r="E103" s="33">
        <v>92.42</v>
      </c>
      <c r="F103" s="26">
        <v>2</v>
      </c>
      <c r="G103" s="35">
        <f>E103/F103</f>
        <v>46.21</v>
      </c>
      <c r="H103" s="37" t="s">
        <v>500</v>
      </c>
      <c r="I103" s="26" t="s">
        <v>560</v>
      </c>
      <c r="J103" s="26" t="s">
        <v>561</v>
      </c>
      <c r="K103" s="26" t="s">
        <v>562</v>
      </c>
      <c r="L103" s="39" t="s">
        <v>22</v>
      </c>
      <c r="M103" s="8">
        <f>COUNTIF($B$1:$B$1191, B103)</f>
        <v>3</v>
      </c>
      <c r="N103" s="8">
        <f>COUNTIF($H$2:$H$1181, H103)</f>
        <v>27</v>
      </c>
    </row>
    <row r="104" spans="1:14">
      <c r="A104" s="29" t="s">
        <v>563</v>
      </c>
      <c r="B104" s="30" t="s">
        <v>334</v>
      </c>
      <c r="C104" s="30" t="s">
        <v>335</v>
      </c>
      <c r="D104" s="31">
        <v>65.239999999999995</v>
      </c>
      <c r="E104" s="31">
        <v>65.239999999999995</v>
      </c>
      <c r="F104" s="30">
        <v>1</v>
      </c>
      <c r="G104" s="34">
        <f>E104/F104</f>
        <v>65.239999999999995</v>
      </c>
      <c r="H104" s="36" t="s">
        <v>500</v>
      </c>
      <c r="I104" s="30" t="s">
        <v>564</v>
      </c>
      <c r="J104" s="30" t="s">
        <v>565</v>
      </c>
      <c r="K104" s="30" t="s">
        <v>566</v>
      </c>
      <c r="L104" s="38" t="s">
        <v>22</v>
      </c>
      <c r="M104" s="8">
        <f>COUNTIF($B$1:$B$1191, B104)</f>
        <v>3</v>
      </c>
      <c r="N104" s="8">
        <f>COUNTIF($H$2:$H$1181, H104)</f>
        <v>27</v>
      </c>
    </row>
    <row r="105" spans="1:14">
      <c r="A105" s="32" t="s">
        <v>567</v>
      </c>
      <c r="B105" s="26" t="s">
        <v>568</v>
      </c>
      <c r="C105" s="26" t="s">
        <v>569</v>
      </c>
      <c r="D105" s="33">
        <v>119.61</v>
      </c>
      <c r="E105" s="33">
        <v>119.61</v>
      </c>
      <c r="F105" s="26">
        <v>1</v>
      </c>
      <c r="G105" s="35">
        <f>E105/F105</f>
        <v>119.61</v>
      </c>
      <c r="H105" s="37" t="s">
        <v>500</v>
      </c>
      <c r="I105" s="26" t="s">
        <v>570</v>
      </c>
      <c r="J105" s="26" t="s">
        <v>571</v>
      </c>
      <c r="K105" s="26" t="s">
        <v>572</v>
      </c>
      <c r="L105" s="39" t="s">
        <v>22</v>
      </c>
      <c r="M105" s="8">
        <f>COUNTIF($B$1:$B$1191, B105)</f>
        <v>7</v>
      </c>
      <c r="N105" s="8">
        <f>COUNTIF($H$2:$H$1181, H105)</f>
        <v>27</v>
      </c>
    </row>
    <row r="106" spans="1:14">
      <c r="A106" s="29" t="s">
        <v>573</v>
      </c>
      <c r="B106" s="30" t="s">
        <v>379</v>
      </c>
      <c r="C106" s="30" t="s">
        <v>379</v>
      </c>
      <c r="D106" s="31">
        <v>114.17</v>
      </c>
      <c r="E106" s="31">
        <v>114.17</v>
      </c>
      <c r="F106" s="30">
        <v>1</v>
      </c>
      <c r="G106" s="34">
        <f>E106/F106</f>
        <v>114.17</v>
      </c>
      <c r="H106" s="36" t="s">
        <v>500</v>
      </c>
      <c r="I106" s="30" t="s">
        <v>574</v>
      </c>
      <c r="J106" s="30" t="s">
        <v>575</v>
      </c>
      <c r="K106" s="30" t="s">
        <v>576</v>
      </c>
      <c r="L106" s="38" t="s">
        <v>22</v>
      </c>
      <c r="M106" s="8">
        <f>COUNTIF($B$1:$B$1191, B106)</f>
        <v>19</v>
      </c>
      <c r="N106" s="8">
        <f>COUNTIF($H$2:$H$1181, H106)</f>
        <v>27</v>
      </c>
    </row>
    <row r="107" spans="1:14">
      <c r="A107" s="32" t="s">
        <v>577</v>
      </c>
      <c r="B107" s="26" t="s">
        <v>578</v>
      </c>
      <c r="C107" s="26" t="s">
        <v>579</v>
      </c>
      <c r="D107" s="33">
        <v>81.55</v>
      </c>
      <c r="E107" s="33">
        <v>81.55</v>
      </c>
      <c r="F107" s="26">
        <v>1</v>
      </c>
      <c r="G107" s="35">
        <f>E107/F107</f>
        <v>81.55</v>
      </c>
      <c r="H107" s="37" t="s">
        <v>500</v>
      </c>
      <c r="I107" s="26" t="s">
        <v>580</v>
      </c>
      <c r="J107" s="26" t="s">
        <v>581</v>
      </c>
      <c r="K107" s="26" t="s">
        <v>582</v>
      </c>
      <c r="L107" s="39" t="s">
        <v>22</v>
      </c>
      <c r="M107" s="8">
        <f>COUNTIF($B$1:$B$1191, B107)</f>
        <v>8</v>
      </c>
      <c r="N107" s="8">
        <f>COUNTIF($H$2:$H$1181, H107)</f>
        <v>27</v>
      </c>
    </row>
    <row r="108" spans="1:14">
      <c r="A108" s="29" t="s">
        <v>583</v>
      </c>
      <c r="B108" s="30" t="s">
        <v>505</v>
      </c>
      <c r="C108" s="30" t="s">
        <v>506</v>
      </c>
      <c r="D108" s="31">
        <v>266.39999999999998</v>
      </c>
      <c r="E108" s="31">
        <v>266.39999999999998</v>
      </c>
      <c r="F108" s="30">
        <v>1</v>
      </c>
      <c r="G108" s="34">
        <f>E108/F108</f>
        <v>266.39999999999998</v>
      </c>
      <c r="H108" s="36" t="s">
        <v>500</v>
      </c>
      <c r="I108" s="30" t="s">
        <v>584</v>
      </c>
      <c r="J108" s="30" t="s">
        <v>585</v>
      </c>
      <c r="K108" s="30" t="s">
        <v>586</v>
      </c>
      <c r="L108" s="38" t="s">
        <v>22</v>
      </c>
      <c r="M108" s="8">
        <f>COUNTIF($B$1:$B$1191, B108)</f>
        <v>4</v>
      </c>
      <c r="N108" s="8">
        <f>COUNTIF($H$2:$H$1181, H108)</f>
        <v>27</v>
      </c>
    </row>
    <row r="109" spans="1:14">
      <c r="A109" s="32" t="s">
        <v>587</v>
      </c>
      <c r="B109" s="26" t="s">
        <v>588</v>
      </c>
      <c r="C109" s="26" t="s">
        <v>589</v>
      </c>
      <c r="D109" s="33">
        <v>135.91999999999999</v>
      </c>
      <c r="E109" s="33">
        <v>135.91999999999999</v>
      </c>
      <c r="F109" s="26">
        <v>1</v>
      </c>
      <c r="G109" s="35">
        <f>E109/F109</f>
        <v>135.91999999999999</v>
      </c>
      <c r="H109" s="37" t="s">
        <v>500</v>
      </c>
      <c r="I109" s="26" t="s">
        <v>590</v>
      </c>
      <c r="J109" s="26" t="s">
        <v>591</v>
      </c>
      <c r="K109" s="26" t="s">
        <v>592</v>
      </c>
      <c r="L109" s="39" t="s">
        <v>22</v>
      </c>
      <c r="M109" s="8">
        <f>COUNTIF($B$1:$B$1191, B109)</f>
        <v>4</v>
      </c>
      <c r="N109" s="8">
        <f>COUNTIF($H$2:$H$1181, H109)</f>
        <v>27</v>
      </c>
    </row>
    <row r="110" spans="1:14">
      <c r="A110" s="29" t="s">
        <v>593</v>
      </c>
      <c r="B110" s="30" t="s">
        <v>554</v>
      </c>
      <c r="C110" s="30" t="s">
        <v>555</v>
      </c>
      <c r="D110" s="31">
        <v>70.680000000000007</v>
      </c>
      <c r="E110" s="31">
        <v>70.680000000000007</v>
      </c>
      <c r="F110" s="30">
        <v>1</v>
      </c>
      <c r="G110" s="34">
        <f>E110/F110</f>
        <v>70.680000000000007</v>
      </c>
      <c r="H110" s="36" t="s">
        <v>500</v>
      </c>
      <c r="I110" s="30" t="s">
        <v>594</v>
      </c>
      <c r="J110" s="30" t="s">
        <v>595</v>
      </c>
      <c r="K110" s="30" t="s">
        <v>596</v>
      </c>
      <c r="L110" s="38" t="s">
        <v>22</v>
      </c>
      <c r="M110" s="8">
        <f>COUNTIF($B$1:$B$1191, B110)</f>
        <v>3</v>
      </c>
      <c r="N110" s="8">
        <f>COUNTIF($H$2:$H$1181, H110)</f>
        <v>27</v>
      </c>
    </row>
    <row r="111" spans="1:14">
      <c r="A111" s="32" t="s">
        <v>597</v>
      </c>
      <c r="B111" s="26" t="s">
        <v>379</v>
      </c>
      <c r="C111" s="26" t="s">
        <v>379</v>
      </c>
      <c r="D111" s="33">
        <v>114.17</v>
      </c>
      <c r="E111" s="33">
        <v>114.17</v>
      </c>
      <c r="F111" s="26">
        <v>1</v>
      </c>
      <c r="G111" s="35">
        <f>E111/F111</f>
        <v>114.17</v>
      </c>
      <c r="H111" s="37" t="s">
        <v>500</v>
      </c>
      <c r="I111" s="26" t="s">
        <v>598</v>
      </c>
      <c r="J111" s="26" t="s">
        <v>599</v>
      </c>
      <c r="K111" s="26" t="s">
        <v>600</v>
      </c>
      <c r="L111" s="39" t="s">
        <v>22</v>
      </c>
      <c r="M111" s="8">
        <f>COUNTIF($B$1:$B$1191, B111)</f>
        <v>19</v>
      </c>
      <c r="N111" s="8">
        <f>COUNTIF($H$2:$H$1181, H111)</f>
        <v>27</v>
      </c>
    </row>
    <row r="112" spans="1:14">
      <c r="A112" s="29" t="s">
        <v>601</v>
      </c>
      <c r="B112" s="30" t="s">
        <v>588</v>
      </c>
      <c r="C112" s="30" t="s">
        <v>589</v>
      </c>
      <c r="D112" s="31">
        <v>135.91999999999999</v>
      </c>
      <c r="E112" s="31">
        <v>135.91999999999999</v>
      </c>
      <c r="F112" s="30">
        <v>1</v>
      </c>
      <c r="G112" s="34">
        <f>E112/F112</f>
        <v>135.91999999999999</v>
      </c>
      <c r="H112" s="36" t="s">
        <v>500</v>
      </c>
      <c r="I112" s="30" t="s">
        <v>602</v>
      </c>
      <c r="J112" s="30" t="s">
        <v>603</v>
      </c>
      <c r="K112" s="30" t="s">
        <v>604</v>
      </c>
      <c r="L112" s="38" t="s">
        <v>22</v>
      </c>
      <c r="M112" s="8">
        <f>COUNTIF($B$1:$B$1191, B112)</f>
        <v>4</v>
      </c>
      <c r="N112" s="8">
        <f>COUNTIF($H$2:$H$1181, H112)</f>
        <v>27</v>
      </c>
    </row>
    <row r="113" spans="1:14">
      <c r="A113" s="32" t="s">
        <v>605</v>
      </c>
      <c r="B113" s="26" t="s">
        <v>606</v>
      </c>
      <c r="C113" s="26" t="s">
        <v>607</v>
      </c>
      <c r="D113" s="33">
        <v>114.17</v>
      </c>
      <c r="E113" s="33">
        <v>135.91999999999999</v>
      </c>
      <c r="F113" s="26">
        <v>2</v>
      </c>
      <c r="G113" s="35">
        <f>E113/F113</f>
        <v>67.959999999999994</v>
      </c>
      <c r="H113" s="37" t="s">
        <v>500</v>
      </c>
      <c r="I113" s="26" t="s">
        <v>608</v>
      </c>
      <c r="J113" s="26" t="s">
        <v>609</v>
      </c>
      <c r="K113" s="26" t="s">
        <v>610</v>
      </c>
      <c r="L113" s="39" t="s">
        <v>22</v>
      </c>
      <c r="M113" s="8">
        <f>COUNTIF($B$1:$B$1191, B113)</f>
        <v>6</v>
      </c>
      <c r="N113" s="8">
        <f>COUNTIF($H$2:$H$1181, H113)</f>
        <v>27</v>
      </c>
    </row>
    <row r="114" spans="1:14">
      <c r="A114" s="29" t="s">
        <v>611</v>
      </c>
      <c r="B114" s="30" t="s">
        <v>612</v>
      </c>
      <c r="C114" s="30" t="s">
        <v>613</v>
      </c>
      <c r="D114" s="31">
        <v>97.86</v>
      </c>
      <c r="E114" s="31">
        <v>97.86</v>
      </c>
      <c r="F114" s="30">
        <v>1</v>
      </c>
      <c r="G114" s="34">
        <f>E114/F114</f>
        <v>97.86</v>
      </c>
      <c r="H114" s="36" t="s">
        <v>500</v>
      </c>
      <c r="I114" s="30" t="s">
        <v>614</v>
      </c>
      <c r="J114" s="30" t="s">
        <v>615</v>
      </c>
      <c r="K114" s="30" t="s">
        <v>616</v>
      </c>
      <c r="L114" s="38" t="s">
        <v>22</v>
      </c>
      <c r="M114" s="8">
        <f>COUNTIF($B$1:$B$1191, B114)</f>
        <v>2</v>
      </c>
      <c r="N114" s="8">
        <f>COUNTIF($H$2:$H$1181, H114)</f>
        <v>27</v>
      </c>
    </row>
    <row r="115" spans="1:14">
      <c r="A115" s="32" t="s">
        <v>617</v>
      </c>
      <c r="B115" s="26" t="s">
        <v>165</v>
      </c>
      <c r="C115" s="26" t="s">
        <v>165</v>
      </c>
      <c r="D115" s="33">
        <v>48.93</v>
      </c>
      <c r="E115" s="33">
        <v>81.55</v>
      </c>
      <c r="F115" s="26">
        <v>12</v>
      </c>
      <c r="G115" s="35">
        <f>E115/F115</f>
        <v>6.7958333333333334</v>
      </c>
      <c r="H115" s="37" t="s">
        <v>500</v>
      </c>
      <c r="I115" s="26" t="s">
        <v>618</v>
      </c>
      <c r="J115" s="26" t="s">
        <v>619</v>
      </c>
      <c r="K115" s="26" t="s">
        <v>620</v>
      </c>
      <c r="L115" s="39" t="s">
        <v>22</v>
      </c>
      <c r="M115" s="8">
        <f>COUNTIF($B$1:$B$1191, B115)</f>
        <v>9</v>
      </c>
      <c r="N115" s="8">
        <f>COUNTIF($H$2:$H$1181, H115)</f>
        <v>27</v>
      </c>
    </row>
    <row r="116" spans="1:14">
      <c r="A116" s="29" t="s">
        <v>621</v>
      </c>
      <c r="B116" s="30" t="s">
        <v>606</v>
      </c>
      <c r="C116" s="30" t="s">
        <v>607</v>
      </c>
      <c r="D116" s="31">
        <v>135.91999999999999</v>
      </c>
      <c r="E116" s="31">
        <v>135.91999999999999</v>
      </c>
      <c r="F116" s="30">
        <v>1</v>
      </c>
      <c r="G116" s="34">
        <f>E116/F116</f>
        <v>135.91999999999999</v>
      </c>
      <c r="H116" s="36" t="s">
        <v>500</v>
      </c>
      <c r="I116" s="30" t="s">
        <v>622</v>
      </c>
      <c r="J116" s="30" t="s">
        <v>623</v>
      </c>
      <c r="K116" s="30" t="s">
        <v>624</v>
      </c>
      <c r="L116" s="38" t="s">
        <v>22</v>
      </c>
      <c r="M116" s="8">
        <f>COUNTIF($B$1:$B$1191, B116)</f>
        <v>6</v>
      </c>
      <c r="N116" s="8">
        <f>COUNTIF($H$2:$H$1181, H116)</f>
        <v>27</v>
      </c>
    </row>
    <row r="117" spans="1:14">
      <c r="A117" s="32" t="s">
        <v>625</v>
      </c>
      <c r="B117" s="26" t="s">
        <v>626</v>
      </c>
      <c r="C117" s="26" t="s">
        <v>627</v>
      </c>
      <c r="D117" s="33">
        <v>65.239999999999995</v>
      </c>
      <c r="E117" s="33">
        <v>65.239999999999995</v>
      </c>
      <c r="F117" s="26">
        <v>1</v>
      </c>
      <c r="G117" s="35">
        <f>E117/F117</f>
        <v>65.239999999999995</v>
      </c>
      <c r="H117" s="37" t="s">
        <v>500</v>
      </c>
      <c r="I117" s="26" t="s">
        <v>628</v>
      </c>
      <c r="J117" s="26" t="s">
        <v>629</v>
      </c>
      <c r="K117" s="26" t="s">
        <v>630</v>
      </c>
      <c r="L117" s="39" t="s">
        <v>22</v>
      </c>
      <c r="M117" s="8">
        <f>COUNTIF($B$1:$B$1191, B117)</f>
        <v>1</v>
      </c>
      <c r="N117" s="8">
        <f>COUNTIF($H$2:$H$1181, H117)</f>
        <v>27</v>
      </c>
    </row>
    <row r="118" spans="1:14">
      <c r="A118" s="29" t="s">
        <v>631</v>
      </c>
      <c r="B118" s="30" t="s">
        <v>632</v>
      </c>
      <c r="C118" s="30" t="s">
        <v>633</v>
      </c>
      <c r="D118" s="31">
        <v>54.31</v>
      </c>
      <c r="E118" s="31">
        <v>54.31</v>
      </c>
      <c r="F118" s="30">
        <v>1</v>
      </c>
      <c r="G118" s="34">
        <f>E118/F118</f>
        <v>54.31</v>
      </c>
      <c r="H118" s="36" t="s">
        <v>500</v>
      </c>
      <c r="I118" s="30" t="s">
        <v>634</v>
      </c>
      <c r="J118" s="30" t="s">
        <v>635</v>
      </c>
      <c r="K118" s="30" t="s">
        <v>636</v>
      </c>
      <c r="L118" s="38" t="s">
        <v>22</v>
      </c>
      <c r="M118" s="8">
        <f>COUNTIF($B$1:$B$1191, B118)</f>
        <v>1</v>
      </c>
      <c r="N118" s="8">
        <f>COUNTIF($H$2:$H$1181, H118)</f>
        <v>27</v>
      </c>
    </row>
    <row r="119" spans="1:14">
      <c r="A119" s="40" t="s">
        <v>637</v>
      </c>
      <c r="B119" s="41" t="s">
        <v>143</v>
      </c>
      <c r="C119" s="41" t="s">
        <v>144</v>
      </c>
      <c r="D119" s="42">
        <v>117.65</v>
      </c>
      <c r="E119" s="42">
        <v>330.55</v>
      </c>
      <c r="F119" s="41">
        <v>10</v>
      </c>
      <c r="G119" s="46">
        <f>E119/F119</f>
        <v>33.055</v>
      </c>
      <c r="H119" s="48" t="s">
        <v>638</v>
      </c>
      <c r="I119" s="41" t="s">
        <v>639</v>
      </c>
      <c r="J119" s="41" t="s">
        <v>640</v>
      </c>
      <c r="K119" s="41" t="s">
        <v>641</v>
      </c>
      <c r="L119" s="50" t="s">
        <v>153</v>
      </c>
      <c r="M119" s="8">
        <f>COUNTIF($B$1:$B$1191, B119)</f>
        <v>3</v>
      </c>
      <c r="N119" s="8">
        <f>COUNTIF($H$2:$H$1181, H119)</f>
        <v>10</v>
      </c>
    </row>
    <row r="120" spans="1:14">
      <c r="A120" s="43" t="s">
        <v>642</v>
      </c>
      <c r="B120" s="44" t="s">
        <v>643</v>
      </c>
      <c r="C120" s="44" t="s">
        <v>643</v>
      </c>
      <c r="D120" s="45">
        <v>336.16</v>
      </c>
      <c r="E120" s="45">
        <v>504.23</v>
      </c>
      <c r="F120" s="44">
        <v>2</v>
      </c>
      <c r="G120" s="47">
        <f>E120/F120</f>
        <v>252.11500000000001</v>
      </c>
      <c r="H120" s="49" t="s">
        <v>638</v>
      </c>
      <c r="I120" s="44" t="s">
        <v>644</v>
      </c>
      <c r="J120" s="44" t="s">
        <v>645</v>
      </c>
      <c r="K120" s="44"/>
      <c r="L120" s="51" t="s">
        <v>22</v>
      </c>
      <c r="M120" s="8">
        <f>COUNTIF($B$1:$B$1191, B120)</f>
        <v>7</v>
      </c>
      <c r="N120" s="8">
        <f>COUNTIF($H$2:$H$1181, H120)</f>
        <v>10</v>
      </c>
    </row>
    <row r="121" spans="1:14">
      <c r="A121" s="40" t="s">
        <v>646</v>
      </c>
      <c r="B121" s="41" t="s">
        <v>643</v>
      </c>
      <c r="C121" s="41" t="s">
        <v>643</v>
      </c>
      <c r="D121" s="42">
        <v>504.23</v>
      </c>
      <c r="E121" s="42">
        <v>3025.4</v>
      </c>
      <c r="F121" s="41">
        <v>12</v>
      </c>
      <c r="G121" s="46">
        <f>E121/F121</f>
        <v>252.11666666666667</v>
      </c>
      <c r="H121" s="48" t="s">
        <v>638</v>
      </c>
      <c r="I121" s="41" t="s">
        <v>647</v>
      </c>
      <c r="J121" s="41" t="s">
        <v>648</v>
      </c>
      <c r="K121" s="41"/>
      <c r="L121" s="50" t="s">
        <v>22</v>
      </c>
      <c r="M121" s="8">
        <f>COUNTIF($B$1:$B$1191, B121)</f>
        <v>7</v>
      </c>
      <c r="N121" s="8">
        <f>COUNTIF($H$2:$H$1181, H121)</f>
        <v>10</v>
      </c>
    </row>
    <row r="122" spans="1:14">
      <c r="A122" s="43" t="s">
        <v>649</v>
      </c>
      <c r="B122" s="44" t="s">
        <v>643</v>
      </c>
      <c r="C122" s="44" t="s">
        <v>643</v>
      </c>
      <c r="D122" s="45">
        <v>448.21</v>
      </c>
      <c r="E122" s="45">
        <v>2689.25</v>
      </c>
      <c r="F122" s="44">
        <v>12</v>
      </c>
      <c r="G122" s="47">
        <f>E122/F122</f>
        <v>224.10416666666666</v>
      </c>
      <c r="H122" s="49" t="s">
        <v>638</v>
      </c>
      <c r="I122" s="44" t="s">
        <v>650</v>
      </c>
      <c r="J122" s="44" t="s">
        <v>651</v>
      </c>
      <c r="K122" s="44"/>
      <c r="L122" s="51" t="s">
        <v>22</v>
      </c>
      <c r="M122" s="8">
        <f>COUNTIF($B$1:$B$1191, B122)</f>
        <v>7</v>
      </c>
      <c r="N122" s="8">
        <f>COUNTIF($H$2:$H$1181, H122)</f>
        <v>10</v>
      </c>
    </row>
    <row r="123" spans="1:14">
      <c r="A123" s="40" t="s">
        <v>652</v>
      </c>
      <c r="B123" s="41" t="s">
        <v>643</v>
      </c>
      <c r="C123" s="41" t="s">
        <v>643</v>
      </c>
      <c r="D123" s="42">
        <v>392.18</v>
      </c>
      <c r="E123" s="42">
        <v>2241.04</v>
      </c>
      <c r="F123" s="41">
        <v>12</v>
      </c>
      <c r="G123" s="46">
        <f>E123/F123</f>
        <v>186.75333333333333</v>
      </c>
      <c r="H123" s="48" t="s">
        <v>638</v>
      </c>
      <c r="I123" s="41" t="s">
        <v>653</v>
      </c>
      <c r="J123" s="41" t="s">
        <v>654</v>
      </c>
      <c r="K123" s="41"/>
      <c r="L123" s="50" t="s">
        <v>22</v>
      </c>
      <c r="M123" s="8">
        <f>COUNTIF($B$1:$B$1191, B123)</f>
        <v>7</v>
      </c>
      <c r="N123" s="8">
        <f>COUNTIF($H$2:$H$1181, H123)</f>
        <v>10</v>
      </c>
    </row>
    <row r="124" spans="1:14">
      <c r="A124" s="43" t="s">
        <v>655</v>
      </c>
      <c r="B124" s="44" t="s">
        <v>643</v>
      </c>
      <c r="C124" s="44" t="s">
        <v>643</v>
      </c>
      <c r="D124" s="45">
        <v>392.18</v>
      </c>
      <c r="E124" s="45">
        <v>616.29</v>
      </c>
      <c r="F124" s="44">
        <v>2</v>
      </c>
      <c r="G124" s="47">
        <f>E124/F124</f>
        <v>308.14499999999998</v>
      </c>
      <c r="H124" s="49" t="s">
        <v>638</v>
      </c>
      <c r="I124" s="44" t="s">
        <v>656</v>
      </c>
      <c r="J124" s="44" t="s">
        <v>657</v>
      </c>
      <c r="K124" s="44"/>
      <c r="L124" s="51" t="s">
        <v>22</v>
      </c>
      <c r="M124" s="8">
        <f>COUNTIF($B$1:$B$1191, B124)</f>
        <v>7</v>
      </c>
      <c r="N124" s="8">
        <f>COUNTIF($H$2:$H$1181, H124)</f>
        <v>10</v>
      </c>
    </row>
    <row r="125" spans="1:14">
      <c r="A125" s="40" t="s">
        <v>658</v>
      </c>
      <c r="B125" s="41" t="s">
        <v>643</v>
      </c>
      <c r="C125" s="41" t="s">
        <v>643</v>
      </c>
      <c r="D125" s="42">
        <v>336.16</v>
      </c>
      <c r="E125" s="42">
        <v>2016.93</v>
      </c>
      <c r="F125" s="41">
        <v>12</v>
      </c>
      <c r="G125" s="46">
        <f>E125/F125</f>
        <v>168.07750000000001</v>
      </c>
      <c r="H125" s="48" t="s">
        <v>638</v>
      </c>
      <c r="I125" s="41"/>
      <c r="J125" s="41" t="s">
        <v>659</v>
      </c>
      <c r="K125" s="41"/>
      <c r="L125" s="50" t="s">
        <v>22</v>
      </c>
      <c r="M125" s="8">
        <f>COUNTIF($B$1:$B$1191, B125)</f>
        <v>7</v>
      </c>
      <c r="N125" s="8">
        <f>COUNTIF($H$2:$H$1181, H125)</f>
        <v>10</v>
      </c>
    </row>
    <row r="126" spans="1:14">
      <c r="A126" s="43" t="s">
        <v>660</v>
      </c>
      <c r="B126" s="44" t="s">
        <v>643</v>
      </c>
      <c r="C126" s="44" t="s">
        <v>643</v>
      </c>
      <c r="D126" s="45">
        <v>336.16</v>
      </c>
      <c r="E126" s="45">
        <v>504.23</v>
      </c>
      <c r="F126" s="44">
        <v>2</v>
      </c>
      <c r="G126" s="47">
        <f>E126/F126</f>
        <v>252.11500000000001</v>
      </c>
      <c r="H126" s="49" t="s">
        <v>638</v>
      </c>
      <c r="I126" s="44" t="s">
        <v>661</v>
      </c>
      <c r="J126" s="44" t="s">
        <v>662</v>
      </c>
      <c r="K126" s="44"/>
      <c r="L126" s="51" t="s">
        <v>22</v>
      </c>
      <c r="M126" s="8">
        <f>COUNTIF($B$1:$B$1191, B126)</f>
        <v>7</v>
      </c>
      <c r="N126" s="8">
        <f>COUNTIF($H$2:$H$1181, H126)</f>
        <v>10</v>
      </c>
    </row>
    <row r="127" spans="1:14">
      <c r="A127" s="40" t="s">
        <v>663</v>
      </c>
      <c r="B127" s="41" t="s">
        <v>664</v>
      </c>
      <c r="C127" s="41" t="s">
        <v>665</v>
      </c>
      <c r="D127" s="42">
        <v>123.26</v>
      </c>
      <c r="E127" s="42">
        <v>162.47999999999999</v>
      </c>
      <c r="F127" s="41">
        <v>2</v>
      </c>
      <c r="G127" s="46">
        <f>E127/F127</f>
        <v>81.239999999999995</v>
      </c>
      <c r="H127" s="48" t="s">
        <v>638</v>
      </c>
      <c r="I127" s="41" t="s">
        <v>666</v>
      </c>
      <c r="J127" s="41" t="s">
        <v>667</v>
      </c>
      <c r="K127" s="41" t="s">
        <v>668</v>
      </c>
      <c r="L127" s="50" t="s">
        <v>22</v>
      </c>
      <c r="M127" s="8">
        <f>COUNTIF($B$1:$B$1191, B127)</f>
        <v>2</v>
      </c>
      <c r="N127" s="8">
        <f>COUNTIF($H$2:$H$1181, H127)</f>
        <v>10</v>
      </c>
    </row>
    <row r="128" spans="1:14">
      <c r="A128" s="43" t="s">
        <v>669</v>
      </c>
      <c r="B128" s="44" t="s">
        <v>670</v>
      </c>
      <c r="C128" s="44" t="s">
        <v>671</v>
      </c>
      <c r="D128" s="45">
        <v>67.23</v>
      </c>
      <c r="E128" s="45">
        <v>235.31</v>
      </c>
      <c r="F128" s="44">
        <v>2</v>
      </c>
      <c r="G128" s="47">
        <f>E128/F128</f>
        <v>117.655</v>
      </c>
      <c r="H128" s="49" t="s">
        <v>638</v>
      </c>
      <c r="I128" s="44" t="s">
        <v>672</v>
      </c>
      <c r="J128" s="44" t="s">
        <v>673</v>
      </c>
      <c r="K128" s="44" t="s">
        <v>674</v>
      </c>
      <c r="L128" s="51" t="s">
        <v>22</v>
      </c>
      <c r="M128" s="8">
        <f>COUNTIF($B$1:$B$1191, B128)</f>
        <v>1</v>
      </c>
      <c r="N128" s="8">
        <f>COUNTIF($H$2:$H$1181, H128)</f>
        <v>10</v>
      </c>
    </row>
    <row r="129" spans="1:14">
      <c r="A129" s="40" t="s">
        <v>675</v>
      </c>
      <c r="B129" s="41" t="s">
        <v>676</v>
      </c>
      <c r="C129" s="41" t="s">
        <v>676</v>
      </c>
      <c r="D129" s="42">
        <v>756.35</v>
      </c>
      <c r="E129" s="42">
        <v>756.35</v>
      </c>
      <c r="F129" s="41">
        <v>1</v>
      </c>
      <c r="G129" s="46">
        <f>E129/F129</f>
        <v>756.35</v>
      </c>
      <c r="H129" s="48" t="s">
        <v>677</v>
      </c>
      <c r="I129" s="41"/>
      <c r="J129" s="41" t="s">
        <v>678</v>
      </c>
      <c r="K129" s="41"/>
      <c r="L129" s="50" t="s">
        <v>22</v>
      </c>
      <c r="M129" s="8">
        <f>COUNTIF($B$1:$B$1191, B129)</f>
        <v>3</v>
      </c>
      <c r="N129" s="8">
        <f>COUNTIF($H$2:$H$1181, H129)</f>
        <v>3</v>
      </c>
    </row>
    <row r="130" spans="1:14">
      <c r="A130" s="43" t="s">
        <v>679</v>
      </c>
      <c r="B130" s="44" t="s">
        <v>676</v>
      </c>
      <c r="C130" s="44" t="s">
        <v>676</v>
      </c>
      <c r="D130" s="45">
        <v>756.35</v>
      </c>
      <c r="E130" s="45">
        <v>756.35</v>
      </c>
      <c r="F130" s="44">
        <v>1</v>
      </c>
      <c r="G130" s="47">
        <f>E130/F130</f>
        <v>756.35</v>
      </c>
      <c r="H130" s="49" t="s">
        <v>677</v>
      </c>
      <c r="I130" s="44"/>
      <c r="J130" s="44" t="s">
        <v>680</v>
      </c>
      <c r="K130" s="44"/>
      <c r="L130" s="51" t="s">
        <v>22</v>
      </c>
      <c r="M130" s="8">
        <f>COUNTIF($B$1:$B$1191, B130)</f>
        <v>3</v>
      </c>
      <c r="N130" s="8">
        <f>COUNTIF($H$2:$H$1181, H130)</f>
        <v>3</v>
      </c>
    </row>
    <row r="131" spans="1:14">
      <c r="A131" s="40" t="s">
        <v>681</v>
      </c>
      <c r="B131" s="41" t="s">
        <v>676</v>
      </c>
      <c r="C131" s="41" t="s">
        <v>676</v>
      </c>
      <c r="D131" s="42">
        <v>756.35</v>
      </c>
      <c r="E131" s="42">
        <v>756.35</v>
      </c>
      <c r="F131" s="41">
        <v>1</v>
      </c>
      <c r="G131" s="46">
        <f>E131/F131</f>
        <v>756.35</v>
      </c>
      <c r="H131" s="48" t="s">
        <v>677</v>
      </c>
      <c r="I131" s="41"/>
      <c r="J131" s="41" t="s">
        <v>682</v>
      </c>
      <c r="K131" s="41"/>
      <c r="L131" s="50" t="s">
        <v>22</v>
      </c>
      <c r="M131" s="8">
        <f>COUNTIF($B$1:$B$1191, B131)</f>
        <v>3</v>
      </c>
      <c r="N131" s="8">
        <f>COUNTIF($H$2:$H$1181, H131)</f>
        <v>3</v>
      </c>
    </row>
    <row r="132" spans="1:14">
      <c r="A132" s="40" t="s">
        <v>683</v>
      </c>
      <c r="B132" s="41" t="s">
        <v>684</v>
      </c>
      <c r="C132" s="41" t="s">
        <v>685</v>
      </c>
      <c r="D132" s="42">
        <v>240.86</v>
      </c>
      <c r="E132" s="42">
        <v>1114.92</v>
      </c>
      <c r="F132" s="41">
        <v>14</v>
      </c>
      <c r="G132" s="46">
        <f>E132/F132</f>
        <v>79.637142857142862</v>
      </c>
      <c r="H132" s="48" t="s">
        <v>686</v>
      </c>
      <c r="I132" s="41" t="s">
        <v>687</v>
      </c>
      <c r="J132" s="41" t="s">
        <v>688</v>
      </c>
      <c r="K132" s="41" t="s">
        <v>689</v>
      </c>
      <c r="L132" s="50" t="s">
        <v>22</v>
      </c>
      <c r="M132" s="8">
        <f>COUNTIF($B$1:$B$1191, B132)</f>
        <v>1</v>
      </c>
      <c r="N132" s="8">
        <f>COUNTIF($H$2:$H$1181, H132)</f>
        <v>1</v>
      </c>
    </row>
    <row r="133" spans="1:14">
      <c r="A133" s="43" t="s">
        <v>690</v>
      </c>
      <c r="B133" s="44" t="s">
        <v>691</v>
      </c>
      <c r="C133" s="44" t="s">
        <v>692</v>
      </c>
      <c r="D133" s="45">
        <v>560.26</v>
      </c>
      <c r="E133" s="45">
        <v>560.26</v>
      </c>
      <c r="F133" s="44">
        <v>1</v>
      </c>
      <c r="G133" s="47">
        <f>E133/F133</f>
        <v>560.26</v>
      </c>
      <c r="H133" s="49" t="s">
        <v>693</v>
      </c>
      <c r="I133" s="44" t="s">
        <v>694</v>
      </c>
      <c r="J133" s="44" t="s">
        <v>695</v>
      </c>
      <c r="K133" s="44" t="s">
        <v>696</v>
      </c>
      <c r="L133" s="51" t="s">
        <v>22</v>
      </c>
      <c r="M133" s="8">
        <f>COUNTIF($B$1:$B$1191, B133)</f>
        <v>2</v>
      </c>
      <c r="N133" s="8">
        <f>COUNTIF($H$2:$H$1181, H133)</f>
        <v>42</v>
      </c>
    </row>
    <row r="134" spans="1:14">
      <c r="A134" s="40" t="s">
        <v>697</v>
      </c>
      <c r="B134" s="41" t="s">
        <v>698</v>
      </c>
      <c r="C134" s="41" t="s">
        <v>699</v>
      </c>
      <c r="D134" s="42">
        <v>196.09</v>
      </c>
      <c r="E134" s="42">
        <v>196.09</v>
      </c>
      <c r="F134" s="41">
        <v>1</v>
      </c>
      <c r="G134" s="46">
        <f>E134/F134</f>
        <v>196.09</v>
      </c>
      <c r="H134" s="48" t="s">
        <v>693</v>
      </c>
      <c r="I134" s="41" t="s">
        <v>700</v>
      </c>
      <c r="J134" s="41" t="s">
        <v>701</v>
      </c>
      <c r="K134" s="41" t="s">
        <v>702</v>
      </c>
      <c r="L134" s="50" t="s">
        <v>153</v>
      </c>
      <c r="M134" s="8">
        <f>COUNTIF($B$1:$B$1191, B134)</f>
        <v>2</v>
      </c>
      <c r="N134" s="8">
        <f>COUNTIF($H$2:$H$1181, H134)</f>
        <v>42</v>
      </c>
    </row>
    <row r="135" spans="1:14">
      <c r="A135" s="43" t="s">
        <v>703</v>
      </c>
      <c r="B135" s="44" t="s">
        <v>691</v>
      </c>
      <c r="C135" s="44" t="s">
        <v>692</v>
      </c>
      <c r="D135" s="45">
        <v>420.19</v>
      </c>
      <c r="E135" s="45">
        <v>1400.65</v>
      </c>
      <c r="F135" s="44">
        <v>4</v>
      </c>
      <c r="G135" s="47">
        <f>E135/F135</f>
        <v>350.16250000000002</v>
      </c>
      <c r="H135" s="49" t="s">
        <v>693</v>
      </c>
      <c r="I135" s="44" t="s">
        <v>704</v>
      </c>
      <c r="J135" s="44" t="s">
        <v>705</v>
      </c>
      <c r="K135" s="44" t="s">
        <v>706</v>
      </c>
      <c r="L135" s="51" t="s">
        <v>22</v>
      </c>
      <c r="M135" s="8">
        <f>COUNTIF($B$1:$B$1191, B135)</f>
        <v>2</v>
      </c>
      <c r="N135" s="8">
        <f>COUNTIF($H$2:$H$1181, H135)</f>
        <v>42</v>
      </c>
    </row>
    <row r="136" spans="1:14">
      <c r="A136" s="40" t="s">
        <v>707</v>
      </c>
      <c r="B136" s="41" t="s">
        <v>708</v>
      </c>
      <c r="C136" s="41" t="s">
        <v>709</v>
      </c>
      <c r="D136" s="42">
        <v>106.45</v>
      </c>
      <c r="E136" s="42">
        <v>106.45</v>
      </c>
      <c r="F136" s="41">
        <v>1</v>
      </c>
      <c r="G136" s="46">
        <f>E136/F136</f>
        <v>106.45</v>
      </c>
      <c r="H136" s="48" t="s">
        <v>693</v>
      </c>
      <c r="I136" s="41" t="s">
        <v>710</v>
      </c>
      <c r="J136" s="41" t="s">
        <v>711</v>
      </c>
      <c r="K136" s="41" t="s">
        <v>712</v>
      </c>
      <c r="L136" s="50" t="s">
        <v>22</v>
      </c>
      <c r="M136" s="8">
        <f>COUNTIF($B$1:$B$1191, B136)</f>
        <v>8</v>
      </c>
      <c r="N136" s="8">
        <f>COUNTIF($H$2:$H$1181, H136)</f>
        <v>42</v>
      </c>
    </row>
    <row r="137" spans="1:14">
      <c r="A137" s="43" t="s">
        <v>713</v>
      </c>
      <c r="B137" s="44" t="s">
        <v>714</v>
      </c>
      <c r="C137" s="44" t="s">
        <v>714</v>
      </c>
      <c r="D137" s="45">
        <v>95.24</v>
      </c>
      <c r="E137" s="45">
        <v>106.45</v>
      </c>
      <c r="F137" s="44">
        <v>2</v>
      </c>
      <c r="G137" s="47">
        <f>E137/F137</f>
        <v>53.225000000000001</v>
      </c>
      <c r="H137" s="49" t="s">
        <v>693</v>
      </c>
      <c r="I137" s="44" t="s">
        <v>715</v>
      </c>
      <c r="J137" s="44" t="s">
        <v>716</v>
      </c>
      <c r="K137" s="44" t="s">
        <v>717</v>
      </c>
      <c r="L137" s="51" t="s">
        <v>22</v>
      </c>
      <c r="M137" s="8">
        <f>COUNTIF($B$1:$B$1191, B137)</f>
        <v>1</v>
      </c>
      <c r="N137" s="8">
        <f>COUNTIF($H$2:$H$1181, H137)</f>
        <v>42</v>
      </c>
    </row>
    <row r="138" spans="1:14">
      <c r="A138" s="40" t="s">
        <v>718</v>
      </c>
      <c r="B138" s="41" t="s">
        <v>719</v>
      </c>
      <c r="C138" s="41" t="s">
        <v>720</v>
      </c>
      <c r="D138" s="42">
        <v>50.42</v>
      </c>
      <c r="E138" s="42">
        <v>162.47999999999999</v>
      </c>
      <c r="F138" s="41">
        <v>5</v>
      </c>
      <c r="G138" s="46">
        <f>E138/F138</f>
        <v>32.495999999999995</v>
      </c>
      <c r="H138" s="48" t="s">
        <v>693</v>
      </c>
      <c r="I138" s="41" t="s">
        <v>721</v>
      </c>
      <c r="J138" s="41" t="s">
        <v>722</v>
      </c>
      <c r="K138" s="41" t="s">
        <v>723</v>
      </c>
      <c r="L138" s="50" t="s">
        <v>22</v>
      </c>
      <c r="M138" s="8">
        <f>COUNTIF($B$1:$B$1191, B138)</f>
        <v>4</v>
      </c>
      <c r="N138" s="8">
        <f>COUNTIF($H$2:$H$1181, H138)</f>
        <v>42</v>
      </c>
    </row>
    <row r="139" spans="1:14">
      <c r="A139" s="43" t="s">
        <v>724</v>
      </c>
      <c r="B139" s="44" t="s">
        <v>379</v>
      </c>
      <c r="C139" s="44" t="s">
        <v>379</v>
      </c>
      <c r="D139" s="45">
        <v>117.65</v>
      </c>
      <c r="E139" s="45">
        <v>117.65</v>
      </c>
      <c r="F139" s="44">
        <v>3</v>
      </c>
      <c r="G139" s="47">
        <f>E139/F139</f>
        <v>39.216666666666669</v>
      </c>
      <c r="H139" s="49" t="s">
        <v>693</v>
      </c>
      <c r="I139" s="44" t="s">
        <v>725</v>
      </c>
      <c r="J139" s="44" t="s">
        <v>726</v>
      </c>
      <c r="K139" s="44" t="s">
        <v>727</v>
      </c>
      <c r="L139" s="51" t="s">
        <v>22</v>
      </c>
      <c r="M139" s="8">
        <f>COUNTIF($B$1:$B$1191, B139)</f>
        <v>19</v>
      </c>
      <c r="N139" s="8">
        <f>COUNTIF($H$2:$H$1181, H139)</f>
        <v>42</v>
      </c>
    </row>
    <row r="140" spans="1:14">
      <c r="A140" s="40" t="s">
        <v>728</v>
      </c>
      <c r="B140" s="41" t="s">
        <v>517</v>
      </c>
      <c r="C140" s="41" t="s">
        <v>518</v>
      </c>
      <c r="D140" s="42">
        <v>106.45</v>
      </c>
      <c r="E140" s="42">
        <v>117.65</v>
      </c>
      <c r="F140" s="41">
        <v>2</v>
      </c>
      <c r="G140" s="46">
        <f>E140/F140</f>
        <v>58.825000000000003</v>
      </c>
      <c r="H140" s="48" t="s">
        <v>693</v>
      </c>
      <c r="I140" s="41" t="s">
        <v>729</v>
      </c>
      <c r="J140" s="41" t="s">
        <v>730</v>
      </c>
      <c r="K140" s="41" t="s">
        <v>731</v>
      </c>
      <c r="L140" s="50" t="s">
        <v>22</v>
      </c>
      <c r="M140" s="8">
        <f>COUNTIF($B$1:$B$1191, B140)</f>
        <v>12</v>
      </c>
      <c r="N140" s="8">
        <f>COUNTIF($H$2:$H$1181, H140)</f>
        <v>42</v>
      </c>
    </row>
    <row r="141" spans="1:14">
      <c r="A141" s="43" t="s">
        <v>732</v>
      </c>
      <c r="B141" s="44" t="s">
        <v>517</v>
      </c>
      <c r="C141" s="44" t="s">
        <v>518</v>
      </c>
      <c r="D141" s="45">
        <v>106.45</v>
      </c>
      <c r="E141" s="45">
        <v>117.65</v>
      </c>
      <c r="F141" s="44">
        <v>3</v>
      </c>
      <c r="G141" s="47">
        <f>E141/F141</f>
        <v>39.216666666666669</v>
      </c>
      <c r="H141" s="49" t="s">
        <v>693</v>
      </c>
      <c r="I141" s="44" t="s">
        <v>733</v>
      </c>
      <c r="J141" s="44" t="s">
        <v>734</v>
      </c>
      <c r="K141" s="44" t="s">
        <v>735</v>
      </c>
      <c r="L141" s="51" t="s">
        <v>22</v>
      </c>
      <c r="M141" s="8">
        <f>COUNTIF($B$1:$B$1191, B141)</f>
        <v>12</v>
      </c>
      <c r="N141" s="8">
        <f>COUNTIF($H$2:$H$1181, H141)</f>
        <v>42</v>
      </c>
    </row>
    <row r="142" spans="1:14">
      <c r="A142" s="40" t="s">
        <v>736</v>
      </c>
      <c r="B142" s="41" t="s">
        <v>517</v>
      </c>
      <c r="C142" s="41" t="s">
        <v>518</v>
      </c>
      <c r="D142" s="42">
        <v>106.45</v>
      </c>
      <c r="E142" s="42">
        <v>117.65</v>
      </c>
      <c r="F142" s="41">
        <v>2</v>
      </c>
      <c r="G142" s="46">
        <f>E142/F142</f>
        <v>58.825000000000003</v>
      </c>
      <c r="H142" s="48" t="s">
        <v>693</v>
      </c>
      <c r="I142" s="41" t="s">
        <v>737</v>
      </c>
      <c r="J142" s="41" t="s">
        <v>738</v>
      </c>
      <c r="K142" s="41" t="s">
        <v>739</v>
      </c>
      <c r="L142" s="50" t="s">
        <v>22</v>
      </c>
      <c r="M142" s="8">
        <f>COUNTIF($B$1:$B$1191, B142)</f>
        <v>12</v>
      </c>
      <c r="N142" s="8">
        <f>COUNTIF($H$2:$H$1181, H142)</f>
        <v>42</v>
      </c>
    </row>
    <row r="143" spans="1:14">
      <c r="A143" s="43" t="s">
        <v>740</v>
      </c>
      <c r="B143" s="44" t="s">
        <v>82</v>
      </c>
      <c r="C143" s="44" t="s">
        <v>83</v>
      </c>
      <c r="D143" s="45">
        <v>84.04</v>
      </c>
      <c r="E143" s="45">
        <v>140.06</v>
      </c>
      <c r="F143" s="44">
        <v>2</v>
      </c>
      <c r="G143" s="47">
        <f>E143/F143</f>
        <v>70.03</v>
      </c>
      <c r="H143" s="49" t="s">
        <v>693</v>
      </c>
      <c r="I143" s="44" t="s">
        <v>741</v>
      </c>
      <c r="J143" s="44" t="s">
        <v>742</v>
      </c>
      <c r="K143" s="44" t="s">
        <v>743</v>
      </c>
      <c r="L143" s="51" t="s">
        <v>22</v>
      </c>
      <c r="M143" s="8">
        <f>COUNTIF($B$1:$B$1191, B143)</f>
        <v>3</v>
      </c>
      <c r="N143" s="8">
        <f>COUNTIF($H$2:$H$1181, H143)</f>
        <v>42</v>
      </c>
    </row>
    <row r="144" spans="1:14">
      <c r="A144" s="40" t="s">
        <v>744</v>
      </c>
      <c r="B144" s="41" t="s">
        <v>719</v>
      </c>
      <c r="C144" s="41" t="s">
        <v>720</v>
      </c>
      <c r="D144" s="42">
        <v>84.04</v>
      </c>
      <c r="E144" s="42">
        <v>196.09</v>
      </c>
      <c r="F144" s="41">
        <v>7</v>
      </c>
      <c r="G144" s="46">
        <f>E144/F144</f>
        <v>28.012857142857143</v>
      </c>
      <c r="H144" s="48" t="s">
        <v>693</v>
      </c>
      <c r="I144" s="41" t="s">
        <v>745</v>
      </c>
      <c r="J144" s="41" t="s">
        <v>746</v>
      </c>
      <c r="K144" s="41" t="s">
        <v>747</v>
      </c>
      <c r="L144" s="50" t="s">
        <v>153</v>
      </c>
      <c r="M144" s="8">
        <f>COUNTIF($B$1:$B$1191, B144)</f>
        <v>4</v>
      </c>
      <c r="N144" s="8">
        <f>COUNTIF($H$2:$H$1181, H144)</f>
        <v>42</v>
      </c>
    </row>
    <row r="145" spans="1:14">
      <c r="A145" s="43" t="s">
        <v>748</v>
      </c>
      <c r="B145" s="44" t="s">
        <v>186</v>
      </c>
      <c r="C145" s="44" t="s">
        <v>187</v>
      </c>
      <c r="D145" s="45">
        <v>67.23</v>
      </c>
      <c r="E145" s="45">
        <v>190.49</v>
      </c>
      <c r="F145" s="44">
        <v>5</v>
      </c>
      <c r="G145" s="47">
        <f>E145/F145</f>
        <v>38.097999999999999</v>
      </c>
      <c r="H145" s="49" t="s">
        <v>693</v>
      </c>
      <c r="I145" s="44" t="s">
        <v>749</v>
      </c>
      <c r="J145" s="44" t="s">
        <v>750</v>
      </c>
      <c r="K145" s="44" t="s">
        <v>751</v>
      </c>
      <c r="L145" s="51" t="s">
        <v>22</v>
      </c>
      <c r="M145" s="8">
        <f>COUNTIF($B$1:$B$1191, B145)</f>
        <v>5</v>
      </c>
      <c r="N145" s="8">
        <f>COUNTIF($H$2:$H$1181, H145)</f>
        <v>42</v>
      </c>
    </row>
    <row r="146" spans="1:14">
      <c r="A146" s="40" t="s">
        <v>752</v>
      </c>
      <c r="B146" s="41" t="s">
        <v>753</v>
      </c>
      <c r="C146" s="41" t="s">
        <v>754</v>
      </c>
      <c r="D146" s="42">
        <v>89.64</v>
      </c>
      <c r="E146" s="42">
        <v>89.64</v>
      </c>
      <c r="F146" s="41">
        <v>1</v>
      </c>
      <c r="G146" s="46">
        <f>E146/F146</f>
        <v>89.64</v>
      </c>
      <c r="H146" s="48" t="s">
        <v>693</v>
      </c>
      <c r="I146" s="41" t="s">
        <v>755</v>
      </c>
      <c r="J146" s="41" t="s">
        <v>756</v>
      </c>
      <c r="K146" s="41" t="s">
        <v>757</v>
      </c>
      <c r="L146" s="50" t="s">
        <v>22</v>
      </c>
      <c r="M146" s="8">
        <f>COUNTIF($B$1:$B$1191, B146)</f>
        <v>24</v>
      </c>
      <c r="N146" s="8">
        <f>COUNTIF($H$2:$H$1181, H146)</f>
        <v>42</v>
      </c>
    </row>
    <row r="147" spans="1:14">
      <c r="A147" s="43" t="s">
        <v>758</v>
      </c>
      <c r="B147" s="44" t="s">
        <v>759</v>
      </c>
      <c r="C147" s="44" t="s">
        <v>760</v>
      </c>
      <c r="D147" s="45">
        <v>140.06</v>
      </c>
      <c r="E147" s="45">
        <v>151.27000000000001</v>
      </c>
      <c r="F147" s="44">
        <v>2</v>
      </c>
      <c r="G147" s="47">
        <f>E147/F147</f>
        <v>75.635000000000005</v>
      </c>
      <c r="H147" s="49" t="s">
        <v>693</v>
      </c>
      <c r="I147" s="44" t="s">
        <v>761</v>
      </c>
      <c r="J147" s="44" t="s">
        <v>762</v>
      </c>
      <c r="K147" s="44" t="s">
        <v>763</v>
      </c>
      <c r="L147" s="51" t="s">
        <v>22</v>
      </c>
      <c r="M147" s="8">
        <f>COUNTIF($B$1:$B$1191, B147)</f>
        <v>1</v>
      </c>
      <c r="N147" s="8">
        <f>COUNTIF($H$2:$H$1181, H147)</f>
        <v>42</v>
      </c>
    </row>
    <row r="148" spans="1:14">
      <c r="A148" s="40" t="s">
        <v>764</v>
      </c>
      <c r="B148" s="41" t="s">
        <v>753</v>
      </c>
      <c r="C148" s="41" t="s">
        <v>754</v>
      </c>
      <c r="D148" s="42">
        <v>89.64</v>
      </c>
      <c r="E148" s="42">
        <v>89.64</v>
      </c>
      <c r="F148" s="41">
        <v>1</v>
      </c>
      <c r="G148" s="46">
        <f>E148/F148</f>
        <v>89.64</v>
      </c>
      <c r="H148" s="48" t="s">
        <v>693</v>
      </c>
      <c r="I148" s="41" t="s">
        <v>765</v>
      </c>
      <c r="J148" s="41" t="s">
        <v>766</v>
      </c>
      <c r="K148" s="41" t="s">
        <v>767</v>
      </c>
      <c r="L148" s="50" t="s">
        <v>22</v>
      </c>
      <c r="M148" s="8">
        <f>COUNTIF($B$1:$B$1191, B148)</f>
        <v>24</v>
      </c>
      <c r="N148" s="8">
        <f>COUNTIF($H$2:$H$1181, H148)</f>
        <v>42</v>
      </c>
    </row>
    <row r="149" spans="1:14">
      <c r="A149" s="43" t="s">
        <v>768</v>
      </c>
      <c r="B149" s="44" t="s">
        <v>769</v>
      </c>
      <c r="C149" s="44" t="s">
        <v>770</v>
      </c>
      <c r="D149" s="45">
        <v>112.05</v>
      </c>
      <c r="E149" s="45">
        <v>392.18</v>
      </c>
      <c r="F149" s="44">
        <v>55</v>
      </c>
      <c r="G149" s="47">
        <f>E149/F149</f>
        <v>7.1305454545454543</v>
      </c>
      <c r="H149" s="49" t="s">
        <v>693</v>
      </c>
      <c r="I149" s="44" t="s">
        <v>771</v>
      </c>
      <c r="J149" s="44" t="s">
        <v>772</v>
      </c>
      <c r="K149" s="44" t="s">
        <v>773</v>
      </c>
      <c r="L149" s="51" t="s">
        <v>153</v>
      </c>
      <c r="M149" s="8">
        <f>COUNTIF($B$1:$B$1191, B149)</f>
        <v>1</v>
      </c>
      <c r="N149" s="8">
        <f>COUNTIF($H$2:$H$1181, H149)</f>
        <v>42</v>
      </c>
    </row>
    <row r="150" spans="1:14">
      <c r="A150" s="40" t="s">
        <v>774</v>
      </c>
      <c r="B150" s="41" t="s">
        <v>517</v>
      </c>
      <c r="C150" s="41" t="s">
        <v>518</v>
      </c>
      <c r="D150" s="42">
        <v>106.45</v>
      </c>
      <c r="E150" s="42">
        <v>117.65</v>
      </c>
      <c r="F150" s="41">
        <v>2</v>
      </c>
      <c r="G150" s="46">
        <f>E150/F150</f>
        <v>58.825000000000003</v>
      </c>
      <c r="H150" s="48" t="s">
        <v>693</v>
      </c>
      <c r="I150" s="41" t="s">
        <v>775</v>
      </c>
      <c r="J150" s="41" t="s">
        <v>776</v>
      </c>
      <c r="K150" s="41" t="s">
        <v>777</v>
      </c>
      <c r="L150" s="50" t="s">
        <v>22</v>
      </c>
      <c r="M150" s="8">
        <f>COUNTIF($B$1:$B$1191, B150)</f>
        <v>12</v>
      </c>
      <c r="N150" s="8">
        <f>COUNTIF($H$2:$H$1181, H150)</f>
        <v>42</v>
      </c>
    </row>
    <row r="151" spans="1:14">
      <c r="A151" s="43" t="s">
        <v>778</v>
      </c>
      <c r="B151" s="44" t="s">
        <v>753</v>
      </c>
      <c r="C151" s="44" t="s">
        <v>754</v>
      </c>
      <c r="D151" s="45">
        <v>95.24</v>
      </c>
      <c r="E151" s="45">
        <v>95.24</v>
      </c>
      <c r="F151" s="44">
        <v>1</v>
      </c>
      <c r="G151" s="47">
        <f>E151/F151</f>
        <v>95.24</v>
      </c>
      <c r="H151" s="49" t="s">
        <v>693</v>
      </c>
      <c r="I151" s="44" t="s">
        <v>779</v>
      </c>
      <c r="J151" s="44" t="s">
        <v>780</v>
      </c>
      <c r="K151" s="44" t="s">
        <v>781</v>
      </c>
      <c r="L151" s="51" t="s">
        <v>22</v>
      </c>
      <c r="M151" s="8">
        <f>COUNTIF($B$1:$B$1191, B151)</f>
        <v>24</v>
      </c>
      <c r="N151" s="8">
        <f>COUNTIF($H$2:$H$1181, H151)</f>
        <v>42</v>
      </c>
    </row>
    <row r="152" spans="1:14">
      <c r="A152" s="40" t="s">
        <v>782</v>
      </c>
      <c r="B152" s="41" t="s">
        <v>783</v>
      </c>
      <c r="C152" s="41" t="s">
        <v>784</v>
      </c>
      <c r="D152" s="42">
        <v>162.47999999999999</v>
      </c>
      <c r="E152" s="42">
        <v>162.47999999999999</v>
      </c>
      <c r="F152" s="41">
        <v>1</v>
      </c>
      <c r="G152" s="46">
        <f>E152/F152</f>
        <v>162.47999999999999</v>
      </c>
      <c r="H152" s="48" t="s">
        <v>693</v>
      </c>
      <c r="I152" s="41" t="s">
        <v>785</v>
      </c>
      <c r="J152" s="41" t="s">
        <v>786</v>
      </c>
      <c r="K152" s="41" t="s">
        <v>787</v>
      </c>
      <c r="L152" s="50" t="s">
        <v>22</v>
      </c>
      <c r="M152" s="8">
        <f>COUNTIF($B$1:$B$1191, B152)</f>
        <v>1</v>
      </c>
      <c r="N152" s="8">
        <f>COUNTIF($H$2:$H$1181, H152)</f>
        <v>42</v>
      </c>
    </row>
    <row r="153" spans="1:14">
      <c r="A153" s="43" t="s">
        <v>788</v>
      </c>
      <c r="B153" s="44" t="s">
        <v>789</v>
      </c>
      <c r="C153" s="44" t="s">
        <v>790</v>
      </c>
      <c r="D153" s="45">
        <v>95.24</v>
      </c>
      <c r="E153" s="45">
        <v>117.65</v>
      </c>
      <c r="F153" s="44">
        <v>2</v>
      </c>
      <c r="G153" s="47">
        <f>E153/F153</f>
        <v>58.825000000000003</v>
      </c>
      <c r="H153" s="49" t="s">
        <v>693</v>
      </c>
      <c r="I153" s="44" t="s">
        <v>791</v>
      </c>
      <c r="J153" s="44" t="s">
        <v>792</v>
      </c>
      <c r="K153" s="44" t="s">
        <v>793</v>
      </c>
      <c r="L153" s="51" t="s">
        <v>22</v>
      </c>
      <c r="M153" s="8">
        <f>COUNTIF($B$1:$B$1191, B153)</f>
        <v>3</v>
      </c>
      <c r="N153" s="8">
        <f>COUNTIF($H$2:$H$1181, H153)</f>
        <v>42</v>
      </c>
    </row>
    <row r="154" spans="1:14">
      <c r="A154" s="40" t="s">
        <v>794</v>
      </c>
      <c r="B154" s="41" t="s">
        <v>143</v>
      </c>
      <c r="C154" s="41" t="s">
        <v>144</v>
      </c>
      <c r="D154" s="42">
        <v>140.06</v>
      </c>
      <c r="E154" s="42">
        <v>140.06</v>
      </c>
      <c r="F154" s="41">
        <v>1</v>
      </c>
      <c r="G154" s="46">
        <f>E154/F154</f>
        <v>140.06</v>
      </c>
      <c r="H154" s="48" t="s">
        <v>693</v>
      </c>
      <c r="I154" s="41" t="s">
        <v>795</v>
      </c>
      <c r="J154" s="41" t="s">
        <v>796</v>
      </c>
      <c r="K154" s="41" t="s">
        <v>797</v>
      </c>
      <c r="L154" s="50" t="s">
        <v>22</v>
      </c>
      <c r="M154" s="8">
        <f>COUNTIF($B$1:$B$1191, B154)</f>
        <v>3</v>
      </c>
      <c r="N154" s="8">
        <f>COUNTIF($H$2:$H$1181, H154)</f>
        <v>42</v>
      </c>
    </row>
    <row r="155" spans="1:14">
      <c r="A155" s="43" t="s">
        <v>798</v>
      </c>
      <c r="B155" s="44" t="s">
        <v>517</v>
      </c>
      <c r="C155" s="44" t="s">
        <v>518</v>
      </c>
      <c r="D155" s="45">
        <v>106.45</v>
      </c>
      <c r="E155" s="45">
        <v>117.65</v>
      </c>
      <c r="F155" s="44">
        <v>2</v>
      </c>
      <c r="G155" s="47">
        <f>E155/F155</f>
        <v>58.825000000000003</v>
      </c>
      <c r="H155" s="49" t="s">
        <v>693</v>
      </c>
      <c r="I155" s="44" t="s">
        <v>799</v>
      </c>
      <c r="J155" s="44" t="s">
        <v>800</v>
      </c>
      <c r="K155" s="44" t="s">
        <v>801</v>
      </c>
      <c r="L155" s="51" t="s">
        <v>22</v>
      </c>
      <c r="M155" s="8">
        <f>COUNTIF($B$1:$B$1191, B155)</f>
        <v>12</v>
      </c>
      <c r="N155" s="8">
        <f>COUNTIF($H$2:$H$1181, H155)</f>
        <v>42</v>
      </c>
    </row>
    <row r="156" spans="1:14">
      <c r="A156" s="40" t="s">
        <v>802</v>
      </c>
      <c r="B156" s="41" t="s">
        <v>803</v>
      </c>
      <c r="C156" s="41" t="s">
        <v>804</v>
      </c>
      <c r="D156" s="42">
        <v>106.45</v>
      </c>
      <c r="E156" s="42">
        <v>128.86000000000001</v>
      </c>
      <c r="F156" s="41">
        <v>3</v>
      </c>
      <c r="G156" s="46">
        <f>E156/F156</f>
        <v>42.95333333333334</v>
      </c>
      <c r="H156" s="48" t="s">
        <v>693</v>
      </c>
      <c r="I156" s="41" t="s">
        <v>805</v>
      </c>
      <c r="J156" s="41" t="s">
        <v>806</v>
      </c>
      <c r="K156" s="41" t="s">
        <v>807</v>
      </c>
      <c r="L156" s="50" t="s">
        <v>22</v>
      </c>
      <c r="M156" s="8">
        <f>COUNTIF($B$1:$B$1191, B156)</f>
        <v>1</v>
      </c>
      <c r="N156" s="8">
        <f>COUNTIF($H$2:$H$1181, H156)</f>
        <v>42</v>
      </c>
    </row>
    <row r="157" spans="1:14">
      <c r="A157" s="43" t="s">
        <v>808</v>
      </c>
      <c r="B157" s="44" t="s">
        <v>49</v>
      </c>
      <c r="C157" s="44" t="s">
        <v>50</v>
      </c>
      <c r="D157" s="45">
        <v>106.45</v>
      </c>
      <c r="E157" s="45">
        <v>128.86000000000001</v>
      </c>
      <c r="F157" s="44">
        <v>2</v>
      </c>
      <c r="G157" s="47">
        <f>E157/F157</f>
        <v>64.430000000000007</v>
      </c>
      <c r="H157" s="49" t="s">
        <v>693</v>
      </c>
      <c r="I157" s="44" t="s">
        <v>809</v>
      </c>
      <c r="J157" s="44" t="s">
        <v>810</v>
      </c>
      <c r="K157" s="44" t="s">
        <v>811</v>
      </c>
      <c r="L157" s="51" t="s">
        <v>22</v>
      </c>
      <c r="M157" s="8">
        <f>COUNTIF($B$1:$B$1191, B157)</f>
        <v>15</v>
      </c>
      <c r="N157" s="8">
        <f>COUNTIF($H$2:$H$1181, H157)</f>
        <v>42</v>
      </c>
    </row>
    <row r="158" spans="1:14">
      <c r="A158" s="40" t="s">
        <v>812</v>
      </c>
      <c r="B158" s="41" t="s">
        <v>813</v>
      </c>
      <c r="C158" s="41" t="s">
        <v>814</v>
      </c>
      <c r="D158" s="42">
        <v>95.24</v>
      </c>
      <c r="E158" s="42">
        <v>95.24</v>
      </c>
      <c r="F158" s="41">
        <v>1</v>
      </c>
      <c r="G158" s="46">
        <f>E158/F158</f>
        <v>95.24</v>
      </c>
      <c r="H158" s="48" t="s">
        <v>693</v>
      </c>
      <c r="I158" s="41" t="s">
        <v>815</v>
      </c>
      <c r="J158" s="41" t="s">
        <v>816</v>
      </c>
      <c r="K158" s="41" t="s">
        <v>817</v>
      </c>
      <c r="L158" s="50" t="s">
        <v>22</v>
      </c>
      <c r="M158" s="8">
        <f>COUNTIF($B$1:$B$1191, B158)</f>
        <v>6</v>
      </c>
      <c r="N158" s="8">
        <f>COUNTIF($H$2:$H$1181, H158)</f>
        <v>42</v>
      </c>
    </row>
    <row r="159" spans="1:14">
      <c r="A159" s="43" t="s">
        <v>818</v>
      </c>
      <c r="B159" s="44" t="s">
        <v>753</v>
      </c>
      <c r="C159" s="44" t="s">
        <v>754</v>
      </c>
      <c r="D159" s="45">
        <v>84.04</v>
      </c>
      <c r="E159" s="45">
        <v>84.04</v>
      </c>
      <c r="F159" s="44">
        <v>1</v>
      </c>
      <c r="G159" s="47">
        <f>E159/F159</f>
        <v>84.04</v>
      </c>
      <c r="H159" s="49" t="s">
        <v>693</v>
      </c>
      <c r="I159" s="44" t="s">
        <v>819</v>
      </c>
      <c r="J159" s="44" t="s">
        <v>820</v>
      </c>
      <c r="K159" s="44" t="s">
        <v>821</v>
      </c>
      <c r="L159" s="51" t="s">
        <v>22</v>
      </c>
      <c r="M159" s="8">
        <f>COUNTIF($B$1:$B$1191, B159)</f>
        <v>24</v>
      </c>
      <c r="N159" s="8">
        <f>COUNTIF($H$2:$H$1181, H159)</f>
        <v>42</v>
      </c>
    </row>
    <row r="160" spans="1:14">
      <c r="A160" s="40" t="s">
        <v>822</v>
      </c>
      <c r="B160" s="41" t="s">
        <v>121</v>
      </c>
      <c r="C160" s="41" t="s">
        <v>122</v>
      </c>
      <c r="D160" s="42">
        <v>56.03</v>
      </c>
      <c r="E160" s="42">
        <v>112.05</v>
      </c>
      <c r="F160" s="41">
        <v>4</v>
      </c>
      <c r="G160" s="46">
        <f>E160/F160</f>
        <v>28.012499999999999</v>
      </c>
      <c r="H160" s="48" t="s">
        <v>693</v>
      </c>
      <c r="I160" s="41" t="s">
        <v>823</v>
      </c>
      <c r="J160" s="41" t="s">
        <v>824</v>
      </c>
      <c r="K160" s="41" t="s">
        <v>825</v>
      </c>
      <c r="L160" s="50" t="s">
        <v>22</v>
      </c>
      <c r="M160" s="8">
        <f>COUNTIF($B$1:$B$1191, B160)</f>
        <v>2</v>
      </c>
      <c r="N160" s="8">
        <f>COUNTIF($H$2:$H$1181, H160)</f>
        <v>42</v>
      </c>
    </row>
    <row r="161" spans="1:14">
      <c r="A161" s="43" t="s">
        <v>826</v>
      </c>
      <c r="B161" s="44" t="s">
        <v>100</v>
      </c>
      <c r="C161" s="44" t="s">
        <v>101</v>
      </c>
      <c r="D161" s="45">
        <v>140.06</v>
      </c>
      <c r="E161" s="45">
        <v>140.06</v>
      </c>
      <c r="F161" s="44">
        <v>1</v>
      </c>
      <c r="G161" s="47">
        <f>E161/F161</f>
        <v>140.06</v>
      </c>
      <c r="H161" s="49" t="s">
        <v>693</v>
      </c>
      <c r="I161" s="44" t="s">
        <v>827</v>
      </c>
      <c r="J161" s="44" t="s">
        <v>828</v>
      </c>
      <c r="K161" s="44" t="s">
        <v>829</v>
      </c>
      <c r="L161" s="51" t="s">
        <v>22</v>
      </c>
      <c r="M161" s="8">
        <f>COUNTIF($B$1:$B$1191, B161)</f>
        <v>6</v>
      </c>
      <c r="N161" s="8">
        <f>COUNTIF($H$2:$H$1181, H161)</f>
        <v>42</v>
      </c>
    </row>
    <row r="162" spans="1:14">
      <c r="A162" s="40" t="s">
        <v>830</v>
      </c>
      <c r="B162" s="41" t="s">
        <v>831</v>
      </c>
      <c r="C162" s="41" t="s">
        <v>832</v>
      </c>
      <c r="D162" s="42">
        <v>106.45</v>
      </c>
      <c r="E162" s="42">
        <v>106.45</v>
      </c>
      <c r="F162" s="41">
        <v>1</v>
      </c>
      <c r="G162" s="46">
        <f>E162/F162</f>
        <v>106.45</v>
      </c>
      <c r="H162" s="48" t="s">
        <v>693</v>
      </c>
      <c r="I162" s="41" t="s">
        <v>833</v>
      </c>
      <c r="J162" s="41" t="s">
        <v>834</v>
      </c>
      <c r="K162" s="41" t="s">
        <v>835</v>
      </c>
      <c r="L162" s="50" t="s">
        <v>22</v>
      </c>
      <c r="M162" s="8">
        <f>COUNTIF($B$1:$B$1191, B162)</f>
        <v>1</v>
      </c>
      <c r="N162" s="8">
        <f>COUNTIF($H$2:$H$1181, H162)</f>
        <v>42</v>
      </c>
    </row>
    <row r="163" spans="1:14">
      <c r="A163" s="43" t="s">
        <v>836</v>
      </c>
      <c r="B163" s="44" t="s">
        <v>837</v>
      </c>
      <c r="C163" s="44" t="s">
        <v>838</v>
      </c>
      <c r="D163" s="45">
        <v>336.16</v>
      </c>
      <c r="E163" s="45">
        <v>560.26</v>
      </c>
      <c r="F163" s="44">
        <v>2</v>
      </c>
      <c r="G163" s="47">
        <f>E163/F163</f>
        <v>280.13</v>
      </c>
      <c r="H163" s="49" t="s">
        <v>693</v>
      </c>
      <c r="I163" s="44" t="s">
        <v>839</v>
      </c>
      <c r="J163" s="44" t="s">
        <v>840</v>
      </c>
      <c r="K163" s="44" t="s">
        <v>841</v>
      </c>
      <c r="L163" s="51" t="s">
        <v>22</v>
      </c>
      <c r="M163" s="8">
        <f>COUNTIF($B$1:$B$1191, B163)</f>
        <v>1</v>
      </c>
      <c r="N163" s="8">
        <f>COUNTIF($H$2:$H$1181, H163)</f>
        <v>42</v>
      </c>
    </row>
    <row r="164" spans="1:14">
      <c r="A164" s="40" t="s">
        <v>842</v>
      </c>
      <c r="B164" s="41" t="s">
        <v>708</v>
      </c>
      <c r="C164" s="41" t="s">
        <v>709</v>
      </c>
      <c r="D164" s="42">
        <v>106.45</v>
      </c>
      <c r="E164" s="42">
        <v>106.45</v>
      </c>
      <c r="F164" s="41">
        <v>1</v>
      </c>
      <c r="G164" s="46">
        <f>E164/F164</f>
        <v>106.45</v>
      </c>
      <c r="H164" s="48" t="s">
        <v>693</v>
      </c>
      <c r="I164" s="41" t="s">
        <v>843</v>
      </c>
      <c r="J164" s="41" t="s">
        <v>844</v>
      </c>
      <c r="K164" s="41" t="s">
        <v>845</v>
      </c>
      <c r="L164" s="50" t="s">
        <v>22</v>
      </c>
      <c r="M164" s="8">
        <f>COUNTIF($B$1:$B$1191, B164)</f>
        <v>8</v>
      </c>
      <c r="N164" s="8">
        <f>COUNTIF($H$2:$H$1181, H164)</f>
        <v>42</v>
      </c>
    </row>
    <row r="165" spans="1:14">
      <c r="A165" s="43" t="s">
        <v>846</v>
      </c>
      <c r="B165" s="44" t="s">
        <v>708</v>
      </c>
      <c r="C165" s="44" t="s">
        <v>709</v>
      </c>
      <c r="D165" s="45">
        <v>106.45</v>
      </c>
      <c r="E165" s="45">
        <v>106.45</v>
      </c>
      <c r="F165" s="44">
        <v>1</v>
      </c>
      <c r="G165" s="47">
        <f>E165/F165</f>
        <v>106.45</v>
      </c>
      <c r="H165" s="49" t="s">
        <v>693</v>
      </c>
      <c r="I165" s="44" t="s">
        <v>847</v>
      </c>
      <c r="J165" s="44" t="s">
        <v>848</v>
      </c>
      <c r="K165" s="44" t="s">
        <v>845</v>
      </c>
      <c r="L165" s="51" t="s">
        <v>22</v>
      </c>
      <c r="M165" s="8">
        <f>COUNTIF($B$1:$B$1191, B165)</f>
        <v>8</v>
      </c>
      <c r="N165" s="8">
        <f>COUNTIF($H$2:$H$1181, H165)</f>
        <v>42</v>
      </c>
    </row>
    <row r="166" spans="1:14">
      <c r="A166" s="40" t="s">
        <v>849</v>
      </c>
      <c r="B166" s="41" t="s">
        <v>850</v>
      </c>
      <c r="C166" s="41" t="s">
        <v>851</v>
      </c>
      <c r="D166" s="42">
        <v>106.45</v>
      </c>
      <c r="E166" s="42">
        <v>274.52999999999997</v>
      </c>
      <c r="F166" s="41">
        <v>14</v>
      </c>
      <c r="G166" s="46">
        <f>E166/F166</f>
        <v>19.609285714285711</v>
      </c>
      <c r="H166" s="48" t="s">
        <v>693</v>
      </c>
      <c r="I166" s="41" t="s">
        <v>852</v>
      </c>
      <c r="J166" s="41" t="s">
        <v>853</v>
      </c>
      <c r="K166" s="41" t="s">
        <v>854</v>
      </c>
      <c r="L166" s="50" t="s">
        <v>22</v>
      </c>
      <c r="M166" s="8">
        <f>COUNTIF($B$1:$B$1191, B166)</f>
        <v>1</v>
      </c>
      <c r="N166" s="8">
        <f>COUNTIF($H$2:$H$1181, H166)</f>
        <v>42</v>
      </c>
    </row>
    <row r="167" spans="1:14">
      <c r="A167" s="43" t="s">
        <v>855</v>
      </c>
      <c r="B167" s="44" t="s">
        <v>856</v>
      </c>
      <c r="C167" s="44" t="s">
        <v>857</v>
      </c>
      <c r="D167" s="45">
        <v>89.64</v>
      </c>
      <c r="E167" s="45">
        <v>89.64</v>
      </c>
      <c r="F167" s="44">
        <v>1</v>
      </c>
      <c r="G167" s="47">
        <f>E167/F167</f>
        <v>89.64</v>
      </c>
      <c r="H167" s="49" t="s">
        <v>693</v>
      </c>
      <c r="I167" s="44" t="s">
        <v>858</v>
      </c>
      <c r="J167" s="44" t="s">
        <v>859</v>
      </c>
      <c r="K167" s="44" t="s">
        <v>860</v>
      </c>
      <c r="L167" s="51" t="s">
        <v>22</v>
      </c>
      <c r="M167" s="8">
        <f>COUNTIF($B$1:$B$1191, B167)</f>
        <v>19</v>
      </c>
      <c r="N167" s="8">
        <f>COUNTIF($H$2:$H$1181, H167)</f>
        <v>42</v>
      </c>
    </row>
    <row r="168" spans="1:14">
      <c r="A168" s="40" t="s">
        <v>861</v>
      </c>
      <c r="B168" s="41" t="s">
        <v>862</v>
      </c>
      <c r="C168" s="41" t="s">
        <v>863</v>
      </c>
      <c r="D168" s="42">
        <v>89.64</v>
      </c>
      <c r="E168" s="42">
        <v>100.85</v>
      </c>
      <c r="F168" s="41">
        <v>2</v>
      </c>
      <c r="G168" s="46">
        <f>E168/F168</f>
        <v>50.424999999999997</v>
      </c>
      <c r="H168" s="48" t="s">
        <v>693</v>
      </c>
      <c r="I168" s="41" t="s">
        <v>864</v>
      </c>
      <c r="J168" s="41" t="s">
        <v>865</v>
      </c>
      <c r="K168" s="41" t="s">
        <v>866</v>
      </c>
      <c r="L168" s="50" t="s">
        <v>22</v>
      </c>
      <c r="M168" s="8">
        <f>COUNTIF($B$1:$B$1191, B168)</f>
        <v>1</v>
      </c>
      <c r="N168" s="8">
        <f>COUNTIF($H$2:$H$1181, H168)</f>
        <v>42</v>
      </c>
    </row>
    <row r="169" spans="1:14">
      <c r="A169" s="43" t="s">
        <v>867</v>
      </c>
      <c r="B169" s="44" t="s">
        <v>578</v>
      </c>
      <c r="C169" s="44" t="s">
        <v>579</v>
      </c>
      <c r="D169" s="45">
        <v>84.04</v>
      </c>
      <c r="E169" s="45">
        <v>84.04</v>
      </c>
      <c r="F169" s="44">
        <v>1</v>
      </c>
      <c r="G169" s="47">
        <f>E169/F169</f>
        <v>84.04</v>
      </c>
      <c r="H169" s="49" t="s">
        <v>693</v>
      </c>
      <c r="I169" s="44" t="s">
        <v>868</v>
      </c>
      <c r="J169" s="44" t="s">
        <v>869</v>
      </c>
      <c r="K169" s="44" t="s">
        <v>870</v>
      </c>
      <c r="L169" s="51" t="s">
        <v>22</v>
      </c>
      <c r="M169" s="8">
        <f>COUNTIF($B$1:$B$1191, B169)</f>
        <v>8</v>
      </c>
      <c r="N169" s="8">
        <f>COUNTIF($H$2:$H$1181, H169)</f>
        <v>42</v>
      </c>
    </row>
    <row r="170" spans="1:14">
      <c r="A170" s="40" t="s">
        <v>871</v>
      </c>
      <c r="B170" s="41" t="s">
        <v>708</v>
      </c>
      <c r="C170" s="41" t="s">
        <v>709</v>
      </c>
      <c r="D170" s="42">
        <v>56.03</v>
      </c>
      <c r="E170" s="42">
        <v>106.45</v>
      </c>
      <c r="F170" s="41">
        <v>2</v>
      </c>
      <c r="G170" s="46">
        <f>E170/F170</f>
        <v>53.225000000000001</v>
      </c>
      <c r="H170" s="48" t="s">
        <v>693</v>
      </c>
      <c r="I170" s="41" t="s">
        <v>872</v>
      </c>
      <c r="J170" s="41" t="s">
        <v>873</v>
      </c>
      <c r="K170" s="41" t="s">
        <v>874</v>
      </c>
      <c r="L170" s="50" t="s">
        <v>22</v>
      </c>
      <c r="M170" s="8">
        <f>COUNTIF($B$1:$B$1191, B170)</f>
        <v>8</v>
      </c>
      <c r="N170" s="8">
        <f>COUNTIF($H$2:$H$1181, H170)</f>
        <v>42</v>
      </c>
    </row>
    <row r="171" spans="1:14">
      <c r="A171" s="43" t="s">
        <v>875</v>
      </c>
      <c r="B171" s="44" t="s">
        <v>222</v>
      </c>
      <c r="C171" s="44" t="s">
        <v>223</v>
      </c>
      <c r="D171" s="45">
        <v>134.46</v>
      </c>
      <c r="E171" s="45">
        <v>134.46</v>
      </c>
      <c r="F171" s="44">
        <v>2</v>
      </c>
      <c r="G171" s="47">
        <f>E171/F171</f>
        <v>67.23</v>
      </c>
      <c r="H171" s="49" t="s">
        <v>693</v>
      </c>
      <c r="I171" s="44" t="s">
        <v>876</v>
      </c>
      <c r="J171" s="44" t="s">
        <v>877</v>
      </c>
      <c r="K171" s="44" t="s">
        <v>878</v>
      </c>
      <c r="L171" s="51" t="s">
        <v>22</v>
      </c>
      <c r="M171" s="8">
        <f>COUNTIF($B$1:$B$1191, B171)</f>
        <v>11</v>
      </c>
      <c r="N171" s="8">
        <f>COUNTIF($H$2:$H$1181, H171)</f>
        <v>42</v>
      </c>
    </row>
    <row r="172" spans="1:14">
      <c r="A172" s="40" t="s">
        <v>879</v>
      </c>
      <c r="B172" s="41" t="s">
        <v>813</v>
      </c>
      <c r="C172" s="41" t="s">
        <v>814</v>
      </c>
      <c r="D172" s="42">
        <v>95.24</v>
      </c>
      <c r="E172" s="42">
        <v>95.24</v>
      </c>
      <c r="F172" s="41">
        <v>1</v>
      </c>
      <c r="G172" s="46">
        <f>E172/F172</f>
        <v>95.24</v>
      </c>
      <c r="H172" s="48" t="s">
        <v>693</v>
      </c>
      <c r="I172" s="41" t="s">
        <v>880</v>
      </c>
      <c r="J172" s="41" t="s">
        <v>881</v>
      </c>
      <c r="K172" s="41" t="s">
        <v>882</v>
      </c>
      <c r="L172" s="50" t="s">
        <v>22</v>
      </c>
      <c r="M172" s="8">
        <f>COUNTIF($B$1:$B$1191, B172)</f>
        <v>6</v>
      </c>
      <c r="N172" s="8">
        <f>COUNTIF($H$2:$H$1181, H172)</f>
        <v>42</v>
      </c>
    </row>
    <row r="173" spans="1:14">
      <c r="A173" s="43" t="s">
        <v>883</v>
      </c>
      <c r="B173" s="44" t="s">
        <v>548</v>
      </c>
      <c r="C173" s="44" t="s">
        <v>549</v>
      </c>
      <c r="D173" s="45">
        <v>84.04</v>
      </c>
      <c r="E173" s="45">
        <v>521.04</v>
      </c>
      <c r="F173" s="44">
        <v>8</v>
      </c>
      <c r="G173" s="47">
        <f>E173/F173</f>
        <v>65.13</v>
      </c>
      <c r="H173" s="49" t="s">
        <v>693</v>
      </c>
      <c r="I173" s="44" t="s">
        <v>884</v>
      </c>
      <c r="J173" s="44" t="s">
        <v>885</v>
      </c>
      <c r="K173" s="44" t="s">
        <v>886</v>
      </c>
      <c r="L173" s="51" t="s">
        <v>22</v>
      </c>
      <c r="M173" s="8">
        <f>COUNTIF($B$1:$B$1191, B173)</f>
        <v>2</v>
      </c>
      <c r="N173" s="8">
        <f>COUNTIF($H$2:$H$1181, H173)</f>
        <v>42</v>
      </c>
    </row>
    <row r="174" spans="1:14">
      <c r="A174" s="40" t="s">
        <v>887</v>
      </c>
      <c r="B174" s="41" t="s">
        <v>888</v>
      </c>
      <c r="C174" s="41" t="s">
        <v>889</v>
      </c>
      <c r="D174" s="42">
        <v>84.04</v>
      </c>
      <c r="E174" s="42">
        <v>84.04</v>
      </c>
      <c r="F174" s="41">
        <v>1</v>
      </c>
      <c r="G174" s="46">
        <f>E174/F174</f>
        <v>84.04</v>
      </c>
      <c r="H174" s="48" t="s">
        <v>693</v>
      </c>
      <c r="I174" s="41" t="s">
        <v>890</v>
      </c>
      <c r="J174" s="41" t="s">
        <v>891</v>
      </c>
      <c r="K174" s="41" t="s">
        <v>892</v>
      </c>
      <c r="L174" s="50" t="s">
        <v>22</v>
      </c>
      <c r="M174" s="8">
        <f>COUNTIF($B$1:$B$1191, B174)</f>
        <v>1</v>
      </c>
      <c r="N174" s="8">
        <f>COUNTIF($H$2:$H$1181, H174)</f>
        <v>42</v>
      </c>
    </row>
    <row r="175" spans="1:14">
      <c r="A175" s="29" t="s">
        <v>893</v>
      </c>
      <c r="B175" s="30" t="s">
        <v>894</v>
      </c>
      <c r="C175" s="30" t="s">
        <v>895</v>
      </c>
      <c r="D175" s="31">
        <v>161.47</v>
      </c>
      <c r="E175" s="31">
        <v>267.26</v>
      </c>
      <c r="F175" s="30">
        <v>8</v>
      </c>
      <c r="G175" s="34">
        <f>E175/F175</f>
        <v>33.407499999999999</v>
      </c>
      <c r="H175" s="36" t="s">
        <v>896</v>
      </c>
      <c r="I175" s="30" t="s">
        <v>897</v>
      </c>
      <c r="J175" s="30" t="s">
        <v>898</v>
      </c>
      <c r="K175" s="30" t="s">
        <v>899</v>
      </c>
      <c r="L175" s="38" t="s">
        <v>22</v>
      </c>
      <c r="M175" s="8">
        <f>COUNTIF($B$1:$B$1191, B175)</f>
        <v>1</v>
      </c>
      <c r="N175" s="8">
        <f>COUNTIF($H$2:$H$1181, H175)</f>
        <v>37</v>
      </c>
    </row>
    <row r="176" spans="1:14">
      <c r="A176" s="32" t="s">
        <v>900</v>
      </c>
      <c r="B176" s="26" t="s">
        <v>16</v>
      </c>
      <c r="C176" s="26" t="s">
        <v>17</v>
      </c>
      <c r="D176" s="33">
        <v>111.36</v>
      </c>
      <c r="E176" s="33">
        <v>7516.64</v>
      </c>
      <c r="F176" s="26">
        <v>70</v>
      </c>
      <c r="G176" s="35">
        <f>E176/F176</f>
        <v>107.38057142857143</v>
      </c>
      <c r="H176" s="37" t="s">
        <v>896</v>
      </c>
      <c r="I176" s="26" t="s">
        <v>901</v>
      </c>
      <c r="J176" s="26" t="s">
        <v>902</v>
      </c>
      <c r="K176" s="26" t="s">
        <v>903</v>
      </c>
      <c r="L176" s="39" t="s">
        <v>22</v>
      </c>
      <c r="M176" s="8">
        <f>COUNTIF($B$1:$B$1191, B176)</f>
        <v>6</v>
      </c>
      <c r="N176" s="8">
        <f>COUNTIF($H$2:$H$1181, H176)</f>
        <v>37</v>
      </c>
    </row>
    <row r="177" spans="1:14">
      <c r="A177" s="29" t="s">
        <v>904</v>
      </c>
      <c r="B177" s="30" t="s">
        <v>905</v>
      </c>
      <c r="C177" s="30" t="s">
        <v>906</v>
      </c>
      <c r="D177" s="31">
        <v>94.65</v>
      </c>
      <c r="E177" s="31">
        <v>100.22</v>
      </c>
      <c r="F177" s="30">
        <v>2</v>
      </c>
      <c r="G177" s="34">
        <f>E177/F177</f>
        <v>50.11</v>
      </c>
      <c r="H177" s="36" t="s">
        <v>896</v>
      </c>
      <c r="I177" s="30" t="s">
        <v>907</v>
      </c>
      <c r="J177" s="30" t="s">
        <v>908</v>
      </c>
      <c r="K177" s="30" t="s">
        <v>909</v>
      </c>
      <c r="L177" s="38" t="s">
        <v>22</v>
      </c>
      <c r="M177" s="8">
        <f>COUNTIF($B$1:$B$1191, B177)</f>
        <v>4</v>
      </c>
      <c r="N177" s="8">
        <f>COUNTIF($H$2:$H$1181, H177)</f>
        <v>37</v>
      </c>
    </row>
    <row r="178" spans="1:14">
      <c r="A178" s="32" t="s">
        <v>910</v>
      </c>
      <c r="B178" s="26" t="s">
        <v>379</v>
      </c>
      <c r="C178" s="26" t="s">
        <v>379</v>
      </c>
      <c r="D178" s="33">
        <v>116.93</v>
      </c>
      <c r="E178" s="33">
        <v>116.93</v>
      </c>
      <c r="F178" s="26">
        <v>2</v>
      </c>
      <c r="G178" s="35">
        <f>E178/F178</f>
        <v>58.465000000000003</v>
      </c>
      <c r="H178" s="37" t="s">
        <v>896</v>
      </c>
      <c r="I178" s="26" t="s">
        <v>911</v>
      </c>
      <c r="J178" s="26" t="s">
        <v>912</v>
      </c>
      <c r="K178" s="26" t="s">
        <v>913</v>
      </c>
      <c r="L178" s="39" t="s">
        <v>22</v>
      </c>
      <c r="M178" s="8">
        <f>COUNTIF($B$1:$B$1191, B178)</f>
        <v>19</v>
      </c>
      <c r="N178" s="8">
        <f>COUNTIF($H$2:$H$1181, H178)</f>
        <v>37</v>
      </c>
    </row>
    <row r="179" spans="1:14">
      <c r="A179" s="29" t="s">
        <v>914</v>
      </c>
      <c r="B179" s="30" t="s">
        <v>915</v>
      </c>
      <c r="C179" s="30" t="s">
        <v>916</v>
      </c>
      <c r="D179" s="31">
        <v>100.22</v>
      </c>
      <c r="E179" s="31">
        <v>122.49</v>
      </c>
      <c r="F179" s="30">
        <v>3</v>
      </c>
      <c r="G179" s="34">
        <f>E179/F179</f>
        <v>40.83</v>
      </c>
      <c r="H179" s="36" t="s">
        <v>896</v>
      </c>
      <c r="I179" s="30" t="s">
        <v>917</v>
      </c>
      <c r="J179" s="30" t="s">
        <v>918</v>
      </c>
      <c r="K179" s="30" t="s">
        <v>919</v>
      </c>
      <c r="L179" s="38" t="s">
        <v>22</v>
      </c>
      <c r="M179" s="8">
        <f>COUNTIF($B$1:$B$1191, B179)</f>
        <v>7</v>
      </c>
      <c r="N179" s="8">
        <f>COUNTIF($H$2:$H$1181, H179)</f>
        <v>37</v>
      </c>
    </row>
    <row r="180" spans="1:14">
      <c r="A180" s="32" t="s">
        <v>920</v>
      </c>
      <c r="B180" s="26" t="s">
        <v>346</v>
      </c>
      <c r="C180" s="26" t="s">
        <v>347</v>
      </c>
      <c r="D180" s="33">
        <v>111.36</v>
      </c>
      <c r="E180" s="33">
        <v>111.36</v>
      </c>
      <c r="F180" s="26">
        <v>1</v>
      </c>
      <c r="G180" s="35">
        <f>E180/F180</f>
        <v>111.36</v>
      </c>
      <c r="H180" s="37" t="s">
        <v>896</v>
      </c>
      <c r="I180" s="26" t="s">
        <v>921</v>
      </c>
      <c r="J180" s="26" t="s">
        <v>922</v>
      </c>
      <c r="K180" s="26" t="s">
        <v>923</v>
      </c>
      <c r="L180" s="39" t="s">
        <v>22</v>
      </c>
      <c r="M180" s="8">
        <f>COUNTIF($B$1:$B$1191, B180)</f>
        <v>11</v>
      </c>
      <c r="N180" s="8">
        <f>COUNTIF($H$2:$H$1181, H180)</f>
        <v>37</v>
      </c>
    </row>
    <row r="181" spans="1:14">
      <c r="A181" s="29" t="s">
        <v>924</v>
      </c>
      <c r="B181" s="30" t="s">
        <v>915</v>
      </c>
      <c r="C181" s="30" t="s">
        <v>916</v>
      </c>
      <c r="D181" s="31">
        <v>105.79</v>
      </c>
      <c r="E181" s="31">
        <v>133.63</v>
      </c>
      <c r="F181" s="30">
        <v>10</v>
      </c>
      <c r="G181" s="34">
        <f>E181/F181</f>
        <v>13.363</v>
      </c>
      <c r="H181" s="36" t="s">
        <v>896</v>
      </c>
      <c r="I181" s="30" t="s">
        <v>925</v>
      </c>
      <c r="J181" s="30" t="s">
        <v>926</v>
      </c>
      <c r="K181" s="30" t="s">
        <v>927</v>
      </c>
      <c r="L181" s="38" t="s">
        <v>22</v>
      </c>
      <c r="M181" s="8">
        <f>COUNTIF($B$1:$B$1191, B181)</f>
        <v>7</v>
      </c>
      <c r="N181" s="8">
        <f>COUNTIF($H$2:$H$1181, H181)</f>
        <v>37</v>
      </c>
    </row>
    <row r="182" spans="1:14">
      <c r="A182" s="32" t="s">
        <v>928</v>
      </c>
      <c r="B182" s="26" t="s">
        <v>588</v>
      </c>
      <c r="C182" s="26" t="s">
        <v>589</v>
      </c>
      <c r="D182" s="33">
        <v>139.19999999999999</v>
      </c>
      <c r="E182" s="33">
        <v>139.19999999999999</v>
      </c>
      <c r="F182" s="26">
        <v>1</v>
      </c>
      <c r="G182" s="35">
        <f>E182/F182</f>
        <v>139.19999999999999</v>
      </c>
      <c r="H182" s="37" t="s">
        <v>896</v>
      </c>
      <c r="I182" s="26" t="s">
        <v>929</v>
      </c>
      <c r="J182" s="26" t="s">
        <v>930</v>
      </c>
      <c r="K182" s="26" t="s">
        <v>931</v>
      </c>
      <c r="L182" s="39" t="s">
        <v>22</v>
      </c>
      <c r="M182" s="8">
        <f>COUNTIF($B$1:$B$1191, B182)</f>
        <v>4</v>
      </c>
      <c r="N182" s="8">
        <f>COUNTIF($H$2:$H$1181, H182)</f>
        <v>37</v>
      </c>
    </row>
    <row r="183" spans="1:14">
      <c r="A183" s="29" t="s">
        <v>932</v>
      </c>
      <c r="B183" s="30" t="s">
        <v>915</v>
      </c>
      <c r="C183" s="30" t="s">
        <v>916</v>
      </c>
      <c r="D183" s="31">
        <v>94.65</v>
      </c>
      <c r="E183" s="31">
        <v>111.36</v>
      </c>
      <c r="F183" s="30">
        <v>2</v>
      </c>
      <c r="G183" s="34">
        <f>E183/F183</f>
        <v>55.68</v>
      </c>
      <c r="H183" s="36" t="s">
        <v>896</v>
      </c>
      <c r="I183" s="30" t="s">
        <v>933</v>
      </c>
      <c r="J183" s="30" t="s">
        <v>934</v>
      </c>
      <c r="K183" s="30" t="s">
        <v>935</v>
      </c>
      <c r="L183" s="38" t="s">
        <v>22</v>
      </c>
      <c r="M183" s="8">
        <f>COUNTIF($B$1:$B$1191, B183)</f>
        <v>7</v>
      </c>
      <c r="N183" s="8">
        <f>COUNTIF($H$2:$H$1181, H183)</f>
        <v>37</v>
      </c>
    </row>
    <row r="184" spans="1:14">
      <c r="A184" s="32" t="s">
        <v>936</v>
      </c>
      <c r="B184" s="26" t="s">
        <v>937</v>
      </c>
      <c r="C184" s="26" t="s">
        <v>938</v>
      </c>
      <c r="D184" s="33">
        <v>139.19999999999999</v>
      </c>
      <c r="E184" s="33">
        <v>139.19999999999999</v>
      </c>
      <c r="F184" s="26">
        <v>1</v>
      </c>
      <c r="G184" s="35">
        <f>E184/F184</f>
        <v>139.19999999999999</v>
      </c>
      <c r="H184" s="37" t="s">
        <v>896</v>
      </c>
      <c r="I184" s="26" t="s">
        <v>939</v>
      </c>
      <c r="J184" s="26" t="s">
        <v>940</v>
      </c>
      <c r="K184" s="26" t="s">
        <v>941</v>
      </c>
      <c r="L184" s="39" t="s">
        <v>22</v>
      </c>
      <c r="M184" s="8">
        <f>COUNTIF($B$1:$B$1191, B184)</f>
        <v>6</v>
      </c>
      <c r="N184" s="8">
        <f>COUNTIF($H$2:$H$1181, H184)</f>
        <v>37</v>
      </c>
    </row>
    <row r="185" spans="1:14">
      <c r="A185" s="29" t="s">
        <v>942</v>
      </c>
      <c r="B185" s="30" t="s">
        <v>943</v>
      </c>
      <c r="C185" s="30" t="s">
        <v>944</v>
      </c>
      <c r="D185" s="31">
        <v>161.47</v>
      </c>
      <c r="E185" s="31">
        <v>161.47</v>
      </c>
      <c r="F185" s="30">
        <v>1</v>
      </c>
      <c r="G185" s="34">
        <f>E185/F185</f>
        <v>161.47</v>
      </c>
      <c r="H185" s="36" t="s">
        <v>896</v>
      </c>
      <c r="I185" s="30" t="s">
        <v>945</v>
      </c>
      <c r="J185" s="30" t="s">
        <v>946</v>
      </c>
      <c r="K185" s="30" t="s">
        <v>947</v>
      </c>
      <c r="L185" s="38" t="s">
        <v>22</v>
      </c>
      <c r="M185" s="8">
        <f>COUNTIF($B$1:$B$1191, B185)</f>
        <v>1</v>
      </c>
      <c r="N185" s="8">
        <f>COUNTIF($H$2:$H$1181, H185)</f>
        <v>37</v>
      </c>
    </row>
    <row r="186" spans="1:14">
      <c r="A186" s="32" t="s">
        <v>948</v>
      </c>
      <c r="B186" s="26" t="s">
        <v>949</v>
      </c>
      <c r="C186" s="26" t="s">
        <v>950</v>
      </c>
      <c r="D186" s="33">
        <v>111.36</v>
      </c>
      <c r="E186" s="33">
        <v>161.47</v>
      </c>
      <c r="F186" s="26">
        <v>4</v>
      </c>
      <c r="G186" s="35">
        <f>E186/F186</f>
        <v>40.3675</v>
      </c>
      <c r="H186" s="37" t="s">
        <v>896</v>
      </c>
      <c r="I186" s="26" t="s">
        <v>951</v>
      </c>
      <c r="J186" s="26" t="s">
        <v>952</v>
      </c>
      <c r="K186" s="26" t="s">
        <v>953</v>
      </c>
      <c r="L186" s="39" t="s">
        <v>22</v>
      </c>
      <c r="M186" s="8">
        <f>COUNTIF($B$1:$B$1191, B186)</f>
        <v>1</v>
      </c>
      <c r="N186" s="8">
        <f>COUNTIF($H$2:$H$1181, H186)</f>
        <v>37</v>
      </c>
    </row>
    <row r="187" spans="1:14">
      <c r="A187" s="29" t="s">
        <v>954</v>
      </c>
      <c r="B187" s="30" t="s">
        <v>955</v>
      </c>
      <c r="C187" s="30" t="s">
        <v>956</v>
      </c>
      <c r="D187" s="31">
        <v>100.22</v>
      </c>
      <c r="E187" s="31">
        <v>100.22</v>
      </c>
      <c r="F187" s="30">
        <v>1</v>
      </c>
      <c r="G187" s="34">
        <f>E187/F187</f>
        <v>100.22</v>
      </c>
      <c r="H187" s="36" t="s">
        <v>957</v>
      </c>
      <c r="I187" s="30" t="s">
        <v>958</v>
      </c>
      <c r="J187" s="30" t="s">
        <v>959</v>
      </c>
      <c r="K187" s="30" t="s">
        <v>960</v>
      </c>
      <c r="L187" s="38" t="s">
        <v>22</v>
      </c>
      <c r="M187" s="8">
        <f>COUNTIF($B$1:$B$1191, B187)</f>
        <v>1</v>
      </c>
      <c r="N187" s="8">
        <f>COUNTIF($H$2:$H$1181, H187)</f>
        <v>67</v>
      </c>
    </row>
    <row r="188" spans="1:14">
      <c r="A188" s="32" t="s">
        <v>961</v>
      </c>
      <c r="B188" s="26" t="s">
        <v>962</v>
      </c>
      <c r="C188" s="26" t="s">
        <v>962</v>
      </c>
      <c r="D188" s="33">
        <v>5562.32</v>
      </c>
      <c r="E188" s="33">
        <v>5562.32</v>
      </c>
      <c r="F188" s="26">
        <v>2</v>
      </c>
      <c r="G188" s="35">
        <f>E188/F188</f>
        <v>2781.16</v>
      </c>
      <c r="H188" s="37" t="s">
        <v>957</v>
      </c>
      <c r="I188" s="26"/>
      <c r="J188" s="26" t="s">
        <v>963</v>
      </c>
      <c r="K188" s="26"/>
      <c r="L188" s="39" t="s">
        <v>22</v>
      </c>
      <c r="M188" s="8">
        <f>COUNTIF($B$1:$B$1191, B188)</f>
        <v>28</v>
      </c>
      <c r="N188" s="8">
        <f>COUNTIF($H$2:$H$1181, H188)</f>
        <v>67</v>
      </c>
    </row>
    <row r="189" spans="1:14">
      <c r="A189" s="29" t="s">
        <v>964</v>
      </c>
      <c r="B189" s="30" t="s">
        <v>962</v>
      </c>
      <c r="C189" s="30" t="s">
        <v>962</v>
      </c>
      <c r="D189" s="31">
        <v>5562.32</v>
      </c>
      <c r="E189" s="31">
        <v>5562.32</v>
      </c>
      <c r="F189" s="30">
        <v>2</v>
      </c>
      <c r="G189" s="34">
        <f>E189/F189</f>
        <v>2781.16</v>
      </c>
      <c r="H189" s="36" t="s">
        <v>957</v>
      </c>
      <c r="I189" s="30"/>
      <c r="J189" s="30" t="s">
        <v>965</v>
      </c>
      <c r="K189" s="30"/>
      <c r="L189" s="38" t="s">
        <v>22</v>
      </c>
      <c r="M189" s="8">
        <f>COUNTIF($B$1:$B$1191, B189)</f>
        <v>28</v>
      </c>
      <c r="N189" s="8">
        <f>COUNTIF($H$2:$H$1181, H189)</f>
        <v>67</v>
      </c>
    </row>
    <row r="190" spans="1:14">
      <c r="A190" s="32" t="s">
        <v>966</v>
      </c>
      <c r="B190" s="26" t="s">
        <v>962</v>
      </c>
      <c r="C190" s="26" t="s">
        <v>962</v>
      </c>
      <c r="D190" s="33">
        <v>5562.32</v>
      </c>
      <c r="E190" s="33">
        <v>5562.32</v>
      </c>
      <c r="F190" s="26">
        <v>6</v>
      </c>
      <c r="G190" s="35">
        <f>E190/F190</f>
        <v>927.05333333333328</v>
      </c>
      <c r="H190" s="37" t="s">
        <v>957</v>
      </c>
      <c r="I190" s="26"/>
      <c r="J190" s="26" t="s">
        <v>967</v>
      </c>
      <c r="K190" s="26"/>
      <c r="L190" s="39" t="s">
        <v>22</v>
      </c>
      <c r="M190" s="8">
        <f>COUNTIF($B$1:$B$1191, B190)</f>
        <v>28</v>
      </c>
      <c r="N190" s="8">
        <f>COUNTIF($H$2:$H$1181, H190)</f>
        <v>67</v>
      </c>
    </row>
    <row r="191" spans="1:14">
      <c r="A191" s="29" t="s">
        <v>968</v>
      </c>
      <c r="B191" s="30" t="s">
        <v>962</v>
      </c>
      <c r="C191" s="30" t="s">
        <v>962</v>
      </c>
      <c r="D191" s="31">
        <v>5562.32</v>
      </c>
      <c r="E191" s="31">
        <v>5562.32</v>
      </c>
      <c r="F191" s="30">
        <v>3</v>
      </c>
      <c r="G191" s="34">
        <f>E191/F191</f>
        <v>1854.1066666666666</v>
      </c>
      <c r="H191" s="36" t="s">
        <v>957</v>
      </c>
      <c r="I191" s="30"/>
      <c r="J191" s="30" t="s">
        <v>969</v>
      </c>
      <c r="K191" s="30"/>
      <c r="L191" s="38" t="s">
        <v>22</v>
      </c>
      <c r="M191" s="8">
        <f>COUNTIF($B$1:$B$1191, B191)</f>
        <v>28</v>
      </c>
      <c r="N191" s="8">
        <f>COUNTIF($H$2:$H$1181, H191)</f>
        <v>67</v>
      </c>
    </row>
    <row r="192" spans="1:14">
      <c r="A192" s="32" t="s">
        <v>970</v>
      </c>
      <c r="B192" s="26" t="s">
        <v>971</v>
      </c>
      <c r="C192" s="26" t="s">
        <v>972</v>
      </c>
      <c r="D192" s="33">
        <v>55.68</v>
      </c>
      <c r="E192" s="33">
        <v>55.68</v>
      </c>
      <c r="F192" s="26">
        <v>1</v>
      </c>
      <c r="G192" s="35">
        <f>E192/F192</f>
        <v>55.68</v>
      </c>
      <c r="H192" s="37" t="s">
        <v>957</v>
      </c>
      <c r="I192" s="26" t="s">
        <v>973</v>
      </c>
      <c r="J192" s="26" t="s">
        <v>974</v>
      </c>
      <c r="K192" s="26" t="s">
        <v>975</v>
      </c>
      <c r="L192" s="39" t="s">
        <v>22</v>
      </c>
      <c r="M192" s="8">
        <f>COUNTIF($B$1:$B$1191, B192)</f>
        <v>6</v>
      </c>
      <c r="N192" s="8">
        <f>COUNTIF($H$2:$H$1181, H192)</f>
        <v>67</v>
      </c>
    </row>
    <row r="193" spans="1:14">
      <c r="A193" s="29" t="s">
        <v>976</v>
      </c>
      <c r="B193" s="30" t="s">
        <v>977</v>
      </c>
      <c r="C193" s="30" t="s">
        <v>978</v>
      </c>
      <c r="D193" s="31">
        <v>100.22</v>
      </c>
      <c r="E193" s="31">
        <v>100.22</v>
      </c>
      <c r="F193" s="30">
        <v>1</v>
      </c>
      <c r="G193" s="34">
        <f>E193/F193</f>
        <v>100.22</v>
      </c>
      <c r="H193" s="36" t="s">
        <v>957</v>
      </c>
      <c r="I193" s="30" t="s">
        <v>979</v>
      </c>
      <c r="J193" s="30" t="s">
        <v>980</v>
      </c>
      <c r="K193" s="30" t="s">
        <v>981</v>
      </c>
      <c r="L193" s="38" t="s">
        <v>22</v>
      </c>
      <c r="M193" s="8">
        <f>COUNTIF($B$1:$B$1191, B193)</f>
        <v>1</v>
      </c>
      <c r="N193" s="8">
        <f>COUNTIF($H$2:$H$1181, H193)</f>
        <v>67</v>
      </c>
    </row>
    <row r="194" spans="1:14">
      <c r="A194" s="32" t="s">
        <v>982</v>
      </c>
      <c r="B194" s="26" t="s">
        <v>962</v>
      </c>
      <c r="C194" s="26" t="s">
        <v>962</v>
      </c>
      <c r="D194" s="33">
        <v>5562.32</v>
      </c>
      <c r="E194" s="33">
        <v>5562.32</v>
      </c>
      <c r="F194" s="26">
        <v>2</v>
      </c>
      <c r="G194" s="35">
        <f>E194/F194</f>
        <v>2781.16</v>
      </c>
      <c r="H194" s="37" t="s">
        <v>957</v>
      </c>
      <c r="I194" s="26"/>
      <c r="J194" s="26" t="s">
        <v>983</v>
      </c>
      <c r="K194" s="26"/>
      <c r="L194" s="39" t="s">
        <v>22</v>
      </c>
      <c r="M194" s="8">
        <f>COUNTIF($B$1:$B$1191, B194)</f>
        <v>28</v>
      </c>
      <c r="N194" s="8">
        <f>COUNTIF($H$2:$H$1181, H194)</f>
        <v>67</v>
      </c>
    </row>
    <row r="195" spans="1:14">
      <c r="A195" s="29" t="s">
        <v>984</v>
      </c>
      <c r="B195" s="30" t="s">
        <v>962</v>
      </c>
      <c r="C195" s="30" t="s">
        <v>962</v>
      </c>
      <c r="D195" s="31">
        <v>5562.32</v>
      </c>
      <c r="E195" s="31">
        <v>5562.32</v>
      </c>
      <c r="F195" s="30">
        <v>4</v>
      </c>
      <c r="G195" s="34">
        <f>E195/F195</f>
        <v>1390.58</v>
      </c>
      <c r="H195" s="36" t="s">
        <v>957</v>
      </c>
      <c r="I195" s="30"/>
      <c r="J195" s="30" t="s">
        <v>985</v>
      </c>
      <c r="K195" s="30"/>
      <c r="L195" s="38" t="s">
        <v>22</v>
      </c>
      <c r="M195" s="8">
        <f>COUNTIF($B$1:$B$1191, B195)</f>
        <v>28</v>
      </c>
      <c r="N195" s="8">
        <f>COUNTIF($H$2:$H$1181, H195)</f>
        <v>67</v>
      </c>
    </row>
    <row r="196" spans="1:14">
      <c r="A196" s="32" t="s">
        <v>986</v>
      </c>
      <c r="B196" s="26" t="s">
        <v>962</v>
      </c>
      <c r="C196" s="26" t="s">
        <v>962</v>
      </c>
      <c r="D196" s="33">
        <v>5562.32</v>
      </c>
      <c r="E196" s="33">
        <v>5562.32</v>
      </c>
      <c r="F196" s="26">
        <v>3</v>
      </c>
      <c r="G196" s="35">
        <f>E196/F196</f>
        <v>1854.1066666666666</v>
      </c>
      <c r="H196" s="37" t="s">
        <v>957</v>
      </c>
      <c r="I196" s="26"/>
      <c r="J196" s="26" t="s">
        <v>987</v>
      </c>
      <c r="K196" s="26"/>
      <c r="L196" s="39" t="s">
        <v>22</v>
      </c>
      <c r="M196" s="8">
        <f>COUNTIF($B$1:$B$1191, B196)</f>
        <v>28</v>
      </c>
      <c r="N196" s="8">
        <f>COUNTIF($H$2:$H$1181, H196)</f>
        <v>67</v>
      </c>
    </row>
    <row r="197" spans="1:14">
      <c r="A197" s="29" t="s">
        <v>988</v>
      </c>
      <c r="B197" s="30" t="s">
        <v>962</v>
      </c>
      <c r="C197" s="30" t="s">
        <v>962</v>
      </c>
      <c r="D197" s="31">
        <v>5562.32</v>
      </c>
      <c r="E197" s="31">
        <v>5562.32</v>
      </c>
      <c r="F197" s="30">
        <v>3</v>
      </c>
      <c r="G197" s="34">
        <f>E197/F197</f>
        <v>1854.1066666666666</v>
      </c>
      <c r="H197" s="36" t="s">
        <v>957</v>
      </c>
      <c r="I197" s="30"/>
      <c r="J197" s="30" t="s">
        <v>989</v>
      </c>
      <c r="K197" s="30"/>
      <c r="L197" s="38" t="s">
        <v>22</v>
      </c>
      <c r="M197" s="8">
        <f>COUNTIF($B$1:$B$1191, B197)</f>
        <v>28</v>
      </c>
      <c r="N197" s="8">
        <f>COUNTIF($H$2:$H$1181, H197)</f>
        <v>67</v>
      </c>
    </row>
    <row r="198" spans="1:14">
      <c r="A198" s="32" t="s">
        <v>990</v>
      </c>
      <c r="B198" s="26" t="s">
        <v>962</v>
      </c>
      <c r="C198" s="26" t="s">
        <v>962</v>
      </c>
      <c r="D198" s="33">
        <v>5562.32</v>
      </c>
      <c r="E198" s="33">
        <v>5562.32</v>
      </c>
      <c r="F198" s="26">
        <v>3</v>
      </c>
      <c r="G198" s="35">
        <f>E198/F198</f>
        <v>1854.1066666666666</v>
      </c>
      <c r="H198" s="37" t="s">
        <v>957</v>
      </c>
      <c r="I198" s="26"/>
      <c r="J198" s="26" t="s">
        <v>991</v>
      </c>
      <c r="K198" s="26"/>
      <c r="L198" s="39" t="s">
        <v>22</v>
      </c>
      <c r="M198" s="8">
        <f>COUNTIF($B$1:$B$1191, B198)</f>
        <v>28</v>
      </c>
      <c r="N198" s="8">
        <f>COUNTIF($H$2:$H$1181, H198)</f>
        <v>67</v>
      </c>
    </row>
    <row r="199" spans="1:14">
      <c r="A199" s="29" t="s">
        <v>992</v>
      </c>
      <c r="B199" s="30" t="s">
        <v>962</v>
      </c>
      <c r="C199" s="30" t="s">
        <v>962</v>
      </c>
      <c r="D199" s="31">
        <v>5562.32</v>
      </c>
      <c r="E199" s="31">
        <v>5562.32</v>
      </c>
      <c r="F199" s="30">
        <v>3</v>
      </c>
      <c r="G199" s="34">
        <f>E199/F199</f>
        <v>1854.1066666666666</v>
      </c>
      <c r="H199" s="36" t="s">
        <v>957</v>
      </c>
      <c r="I199" s="30"/>
      <c r="J199" s="30" t="s">
        <v>993</v>
      </c>
      <c r="K199" s="30"/>
      <c r="L199" s="38" t="s">
        <v>22</v>
      </c>
      <c r="M199" s="8">
        <f>COUNTIF($B$1:$B$1191, B199)</f>
        <v>28</v>
      </c>
      <c r="N199" s="8">
        <f>COUNTIF($H$2:$H$1181, H199)</f>
        <v>67</v>
      </c>
    </row>
    <row r="200" spans="1:14">
      <c r="A200" s="32" t="s">
        <v>994</v>
      </c>
      <c r="B200" s="26" t="s">
        <v>962</v>
      </c>
      <c r="C200" s="26" t="s">
        <v>962</v>
      </c>
      <c r="D200" s="33">
        <v>5562.32</v>
      </c>
      <c r="E200" s="33">
        <v>5562.32</v>
      </c>
      <c r="F200" s="26">
        <v>3</v>
      </c>
      <c r="G200" s="35">
        <f>E200/F200</f>
        <v>1854.1066666666666</v>
      </c>
      <c r="H200" s="37" t="s">
        <v>957</v>
      </c>
      <c r="I200" s="26"/>
      <c r="J200" s="26" t="s">
        <v>995</v>
      </c>
      <c r="K200" s="26"/>
      <c r="L200" s="39" t="s">
        <v>22</v>
      </c>
      <c r="M200" s="8">
        <f>COUNTIF($B$1:$B$1191, B200)</f>
        <v>28</v>
      </c>
      <c r="N200" s="8">
        <f>COUNTIF($H$2:$H$1181, H200)</f>
        <v>67</v>
      </c>
    </row>
    <row r="201" spans="1:14">
      <c r="A201" s="29" t="s">
        <v>996</v>
      </c>
      <c r="B201" s="30" t="s">
        <v>962</v>
      </c>
      <c r="C201" s="30" t="s">
        <v>962</v>
      </c>
      <c r="D201" s="31">
        <v>5562.32</v>
      </c>
      <c r="E201" s="31">
        <v>5562.32</v>
      </c>
      <c r="F201" s="30">
        <v>3</v>
      </c>
      <c r="G201" s="34">
        <f>E201/F201</f>
        <v>1854.1066666666666</v>
      </c>
      <c r="H201" s="36" t="s">
        <v>957</v>
      </c>
      <c r="I201" s="30"/>
      <c r="J201" s="30" t="s">
        <v>997</v>
      </c>
      <c r="K201" s="30"/>
      <c r="L201" s="38" t="s">
        <v>22</v>
      </c>
      <c r="M201" s="8">
        <f>COUNTIF($B$1:$B$1191, B201)</f>
        <v>28</v>
      </c>
      <c r="N201" s="8">
        <f>COUNTIF($H$2:$H$1181, H201)</f>
        <v>67</v>
      </c>
    </row>
    <row r="202" spans="1:14">
      <c r="A202" s="32" t="s">
        <v>998</v>
      </c>
      <c r="B202" s="26" t="s">
        <v>962</v>
      </c>
      <c r="C202" s="26" t="s">
        <v>962</v>
      </c>
      <c r="D202" s="33">
        <v>5562.32</v>
      </c>
      <c r="E202" s="33">
        <v>5562.32</v>
      </c>
      <c r="F202" s="26">
        <v>3</v>
      </c>
      <c r="G202" s="35">
        <f>E202/F202</f>
        <v>1854.1066666666666</v>
      </c>
      <c r="H202" s="37" t="s">
        <v>957</v>
      </c>
      <c r="I202" s="26"/>
      <c r="J202" s="26" t="s">
        <v>999</v>
      </c>
      <c r="K202" s="26"/>
      <c r="L202" s="39" t="s">
        <v>22</v>
      </c>
      <c r="M202" s="8">
        <f>COUNTIF($B$1:$B$1191, B202)</f>
        <v>28</v>
      </c>
      <c r="N202" s="8">
        <f>COUNTIF($H$2:$H$1181, H202)</f>
        <v>67</v>
      </c>
    </row>
    <row r="203" spans="1:14">
      <c r="A203" s="29" t="s">
        <v>1000</v>
      </c>
      <c r="B203" s="30" t="s">
        <v>962</v>
      </c>
      <c r="C203" s="30" t="s">
        <v>962</v>
      </c>
      <c r="D203" s="31">
        <v>5562.32</v>
      </c>
      <c r="E203" s="31">
        <v>5562.32</v>
      </c>
      <c r="F203" s="30">
        <v>6</v>
      </c>
      <c r="G203" s="34">
        <f>E203/F203</f>
        <v>927.05333333333328</v>
      </c>
      <c r="H203" s="36" t="s">
        <v>957</v>
      </c>
      <c r="I203" s="30"/>
      <c r="J203" s="30" t="s">
        <v>1001</v>
      </c>
      <c r="K203" s="30"/>
      <c r="L203" s="38" t="s">
        <v>22</v>
      </c>
      <c r="M203" s="8">
        <f>COUNTIF($B$1:$B$1191, B203)</f>
        <v>28</v>
      </c>
      <c r="N203" s="8">
        <f>COUNTIF($H$2:$H$1181, H203)</f>
        <v>67</v>
      </c>
    </row>
    <row r="204" spans="1:14">
      <c r="A204" s="32" t="s">
        <v>1002</v>
      </c>
      <c r="B204" s="26" t="s">
        <v>962</v>
      </c>
      <c r="C204" s="26" t="s">
        <v>962</v>
      </c>
      <c r="D204" s="33">
        <v>5562.32</v>
      </c>
      <c r="E204" s="33">
        <v>5562.32</v>
      </c>
      <c r="F204" s="26">
        <v>4</v>
      </c>
      <c r="G204" s="35">
        <f>E204/F204</f>
        <v>1390.58</v>
      </c>
      <c r="H204" s="37" t="s">
        <v>957</v>
      </c>
      <c r="I204" s="26"/>
      <c r="J204" s="26" t="s">
        <v>1003</v>
      </c>
      <c r="K204" s="26"/>
      <c r="L204" s="39" t="s">
        <v>22</v>
      </c>
      <c r="M204" s="8">
        <f>COUNTIF($B$1:$B$1191, B204)</f>
        <v>28</v>
      </c>
      <c r="N204" s="8">
        <f>COUNTIF($H$2:$H$1181, H204)</f>
        <v>67</v>
      </c>
    </row>
    <row r="205" spans="1:14">
      <c r="A205" s="29" t="s">
        <v>1004</v>
      </c>
      <c r="B205" s="30" t="s">
        <v>962</v>
      </c>
      <c r="C205" s="30" t="s">
        <v>962</v>
      </c>
      <c r="D205" s="31">
        <v>5562.32</v>
      </c>
      <c r="E205" s="31">
        <v>5562.32</v>
      </c>
      <c r="F205" s="30">
        <v>1</v>
      </c>
      <c r="G205" s="34">
        <f>E205/F205</f>
        <v>5562.32</v>
      </c>
      <c r="H205" s="36" t="s">
        <v>957</v>
      </c>
      <c r="I205" s="30"/>
      <c r="J205" s="30" t="s">
        <v>1005</v>
      </c>
      <c r="K205" s="30"/>
      <c r="L205" s="38" t="s">
        <v>22</v>
      </c>
      <c r="M205" s="8">
        <f>COUNTIF($B$1:$B$1191, B205)</f>
        <v>28</v>
      </c>
      <c r="N205" s="8">
        <f>COUNTIF($H$2:$H$1181, H205)</f>
        <v>67</v>
      </c>
    </row>
    <row r="206" spans="1:14">
      <c r="A206" s="32" t="s">
        <v>1006</v>
      </c>
      <c r="B206" s="26" t="s">
        <v>962</v>
      </c>
      <c r="C206" s="26" t="s">
        <v>962</v>
      </c>
      <c r="D206" s="33">
        <v>5562.32</v>
      </c>
      <c r="E206" s="33">
        <v>5562.32</v>
      </c>
      <c r="F206" s="26">
        <v>3</v>
      </c>
      <c r="G206" s="35">
        <f>E206/F206</f>
        <v>1854.1066666666666</v>
      </c>
      <c r="H206" s="37" t="s">
        <v>957</v>
      </c>
      <c r="I206" s="26"/>
      <c r="J206" s="26" t="s">
        <v>1007</v>
      </c>
      <c r="K206" s="26"/>
      <c r="L206" s="39" t="s">
        <v>22</v>
      </c>
      <c r="M206" s="8">
        <f>COUNTIF($B$1:$B$1191, B206)</f>
        <v>28</v>
      </c>
      <c r="N206" s="8">
        <f>COUNTIF($H$2:$H$1181, H206)</f>
        <v>67</v>
      </c>
    </row>
    <row r="207" spans="1:14">
      <c r="A207" s="29" t="s">
        <v>1008</v>
      </c>
      <c r="B207" s="30" t="s">
        <v>962</v>
      </c>
      <c r="C207" s="30" t="s">
        <v>962</v>
      </c>
      <c r="D207" s="31">
        <v>5562.32</v>
      </c>
      <c r="E207" s="31">
        <v>5562.32</v>
      </c>
      <c r="F207" s="30">
        <v>1</v>
      </c>
      <c r="G207" s="34">
        <f>E207/F207</f>
        <v>5562.32</v>
      </c>
      <c r="H207" s="36" t="s">
        <v>957</v>
      </c>
      <c r="I207" s="30"/>
      <c r="J207" s="30" t="s">
        <v>1009</v>
      </c>
      <c r="K207" s="30"/>
      <c r="L207" s="38" t="s">
        <v>22</v>
      </c>
      <c r="M207" s="8">
        <f>COUNTIF($B$1:$B$1191, B207)</f>
        <v>28</v>
      </c>
      <c r="N207" s="8">
        <f>COUNTIF($H$2:$H$1181, H207)</f>
        <v>67</v>
      </c>
    </row>
    <row r="208" spans="1:14">
      <c r="A208" s="32" t="s">
        <v>1010</v>
      </c>
      <c r="B208" s="26" t="s">
        <v>962</v>
      </c>
      <c r="C208" s="26" t="s">
        <v>962</v>
      </c>
      <c r="D208" s="33">
        <v>5562.32</v>
      </c>
      <c r="E208" s="33">
        <v>5562.32</v>
      </c>
      <c r="F208" s="26">
        <v>3</v>
      </c>
      <c r="G208" s="35">
        <f>E208/F208</f>
        <v>1854.1066666666666</v>
      </c>
      <c r="H208" s="37" t="s">
        <v>957</v>
      </c>
      <c r="I208" s="26"/>
      <c r="J208" s="26" t="s">
        <v>1011</v>
      </c>
      <c r="K208" s="26"/>
      <c r="L208" s="39" t="s">
        <v>22</v>
      </c>
      <c r="M208" s="8">
        <f>COUNTIF($B$1:$B$1191, B208)</f>
        <v>28</v>
      </c>
      <c r="N208" s="8">
        <f>COUNTIF($H$2:$H$1181, H208)</f>
        <v>67</v>
      </c>
    </row>
    <row r="209" spans="1:14">
      <c r="A209" s="29" t="s">
        <v>1012</v>
      </c>
      <c r="B209" s="30" t="s">
        <v>962</v>
      </c>
      <c r="C209" s="30" t="s">
        <v>962</v>
      </c>
      <c r="D209" s="31">
        <v>5562.32</v>
      </c>
      <c r="E209" s="31">
        <v>5562.32</v>
      </c>
      <c r="F209" s="30">
        <v>3</v>
      </c>
      <c r="G209" s="34">
        <f>E209/F209</f>
        <v>1854.1066666666666</v>
      </c>
      <c r="H209" s="36" t="s">
        <v>957</v>
      </c>
      <c r="I209" s="30"/>
      <c r="J209" s="30" t="s">
        <v>1013</v>
      </c>
      <c r="K209" s="30"/>
      <c r="L209" s="38" t="s">
        <v>22</v>
      </c>
      <c r="M209" s="8">
        <f>COUNTIF($B$1:$B$1191, B209)</f>
        <v>28</v>
      </c>
      <c r="N209" s="8">
        <f>COUNTIF($H$2:$H$1181, H209)</f>
        <v>67</v>
      </c>
    </row>
    <row r="210" spans="1:14">
      <c r="A210" s="32" t="s">
        <v>1014</v>
      </c>
      <c r="B210" s="26" t="s">
        <v>962</v>
      </c>
      <c r="C210" s="26" t="s">
        <v>962</v>
      </c>
      <c r="D210" s="33">
        <v>5562.32</v>
      </c>
      <c r="E210" s="33">
        <v>5562.32</v>
      </c>
      <c r="F210" s="26">
        <v>4</v>
      </c>
      <c r="G210" s="35">
        <f>E210/F210</f>
        <v>1390.58</v>
      </c>
      <c r="H210" s="37" t="s">
        <v>957</v>
      </c>
      <c r="I210" s="26"/>
      <c r="J210" s="26" t="s">
        <v>1015</v>
      </c>
      <c r="K210" s="26"/>
      <c r="L210" s="39" t="s">
        <v>22</v>
      </c>
      <c r="M210" s="8">
        <f>COUNTIF($B$1:$B$1191, B210)</f>
        <v>28</v>
      </c>
      <c r="N210" s="8">
        <f>COUNTIF($H$2:$H$1181, H210)</f>
        <v>67</v>
      </c>
    </row>
    <row r="211" spans="1:14">
      <c r="A211" s="29" t="s">
        <v>1016</v>
      </c>
      <c r="B211" s="30" t="s">
        <v>1017</v>
      </c>
      <c r="C211" s="30" t="s">
        <v>1017</v>
      </c>
      <c r="D211" s="31">
        <v>83.52</v>
      </c>
      <c r="E211" s="31">
        <v>83.52</v>
      </c>
      <c r="F211" s="30">
        <v>1</v>
      </c>
      <c r="G211" s="34">
        <f>E211/F211</f>
        <v>83.52</v>
      </c>
      <c r="H211" s="36" t="s">
        <v>957</v>
      </c>
      <c r="I211" s="30" t="s">
        <v>1018</v>
      </c>
      <c r="J211" s="30" t="s">
        <v>1019</v>
      </c>
      <c r="K211" s="30" t="s">
        <v>1020</v>
      </c>
      <c r="L211" s="38" t="s">
        <v>22</v>
      </c>
      <c r="M211" s="8">
        <f>COUNTIF($B$1:$B$1191, B211)</f>
        <v>3</v>
      </c>
      <c r="N211" s="8">
        <f>COUNTIF($H$2:$H$1181, H211)</f>
        <v>67</v>
      </c>
    </row>
    <row r="212" spans="1:14">
      <c r="A212" s="32" t="s">
        <v>1021</v>
      </c>
      <c r="B212" s="26" t="s">
        <v>455</v>
      </c>
      <c r="C212" s="26" t="s">
        <v>456</v>
      </c>
      <c r="D212" s="33">
        <v>66.81</v>
      </c>
      <c r="E212" s="33">
        <v>66.81</v>
      </c>
      <c r="F212" s="26">
        <v>1</v>
      </c>
      <c r="G212" s="35">
        <f>E212/F212</f>
        <v>66.81</v>
      </c>
      <c r="H212" s="37" t="s">
        <v>957</v>
      </c>
      <c r="I212" s="26" t="s">
        <v>1022</v>
      </c>
      <c r="J212" s="26" t="s">
        <v>1023</v>
      </c>
      <c r="K212" s="26" t="s">
        <v>1024</v>
      </c>
      <c r="L212" s="39" t="s">
        <v>22</v>
      </c>
      <c r="M212" s="8">
        <f>COUNTIF($B$1:$B$1191, B212)</f>
        <v>7</v>
      </c>
      <c r="N212" s="8">
        <f>COUNTIF($H$2:$H$1181, H212)</f>
        <v>67</v>
      </c>
    </row>
    <row r="213" spans="1:14">
      <c r="A213" s="29" t="s">
        <v>1025</v>
      </c>
      <c r="B213" s="30" t="s">
        <v>1026</v>
      </c>
      <c r="C213" s="30" t="s">
        <v>1027</v>
      </c>
      <c r="D213" s="31">
        <v>100.22</v>
      </c>
      <c r="E213" s="31">
        <v>100.22</v>
      </c>
      <c r="F213" s="30">
        <v>1</v>
      </c>
      <c r="G213" s="34">
        <f>E213/F213</f>
        <v>100.22</v>
      </c>
      <c r="H213" s="36" t="s">
        <v>957</v>
      </c>
      <c r="I213" s="30" t="s">
        <v>1028</v>
      </c>
      <c r="J213" s="30" t="s">
        <v>1029</v>
      </c>
      <c r="K213" s="30" t="s">
        <v>1030</v>
      </c>
      <c r="L213" s="38" t="s">
        <v>22</v>
      </c>
      <c r="M213" s="8">
        <f>COUNTIF($B$1:$B$1191, B213)</f>
        <v>2</v>
      </c>
      <c r="N213" s="8">
        <f>COUNTIF($H$2:$H$1181, H213)</f>
        <v>67</v>
      </c>
    </row>
    <row r="214" spans="1:14">
      <c r="A214" s="32" t="s">
        <v>1031</v>
      </c>
      <c r="B214" s="26" t="s">
        <v>1032</v>
      </c>
      <c r="C214" s="26" t="s">
        <v>1033</v>
      </c>
      <c r="D214" s="33">
        <v>83.52</v>
      </c>
      <c r="E214" s="33">
        <v>100.22</v>
      </c>
      <c r="F214" s="26">
        <v>2</v>
      </c>
      <c r="G214" s="35">
        <f>E214/F214</f>
        <v>50.11</v>
      </c>
      <c r="H214" s="37" t="s">
        <v>957</v>
      </c>
      <c r="I214" s="26" t="s">
        <v>1034</v>
      </c>
      <c r="J214" s="26" t="s">
        <v>1035</v>
      </c>
      <c r="K214" s="26" t="s">
        <v>1036</v>
      </c>
      <c r="L214" s="39" t="s">
        <v>22</v>
      </c>
      <c r="M214" s="8">
        <f>COUNTIF($B$1:$B$1191, B214)</f>
        <v>3</v>
      </c>
      <c r="N214" s="8">
        <f>COUNTIF($H$2:$H$1181, H214)</f>
        <v>67</v>
      </c>
    </row>
    <row r="215" spans="1:14">
      <c r="A215" s="29" t="s">
        <v>1037</v>
      </c>
      <c r="B215" s="30" t="s">
        <v>505</v>
      </c>
      <c r="C215" s="30" t="s">
        <v>506</v>
      </c>
      <c r="D215" s="31">
        <v>272.83</v>
      </c>
      <c r="E215" s="31">
        <v>272.83</v>
      </c>
      <c r="F215" s="30">
        <v>1</v>
      </c>
      <c r="G215" s="34">
        <f>E215/F215</f>
        <v>272.83</v>
      </c>
      <c r="H215" s="36" t="s">
        <v>957</v>
      </c>
      <c r="I215" s="30" t="s">
        <v>1038</v>
      </c>
      <c r="J215" s="30" t="s">
        <v>1039</v>
      </c>
      <c r="K215" s="30" t="s">
        <v>1040</v>
      </c>
      <c r="L215" s="38" t="s">
        <v>22</v>
      </c>
      <c r="M215" s="8">
        <f>COUNTIF($B$1:$B$1191, B215)</f>
        <v>4</v>
      </c>
      <c r="N215" s="8">
        <f>COUNTIF($H$2:$H$1181, H215)</f>
        <v>67</v>
      </c>
    </row>
    <row r="216" spans="1:14">
      <c r="A216" s="32" t="s">
        <v>1041</v>
      </c>
      <c r="B216" s="26" t="s">
        <v>1026</v>
      </c>
      <c r="C216" s="26" t="s">
        <v>1027</v>
      </c>
      <c r="D216" s="33">
        <v>100.22</v>
      </c>
      <c r="E216" s="33">
        <v>100.22</v>
      </c>
      <c r="F216" s="26">
        <v>1</v>
      </c>
      <c r="G216" s="35">
        <f>E216/F216</f>
        <v>100.22</v>
      </c>
      <c r="H216" s="37" t="s">
        <v>957</v>
      </c>
      <c r="I216" s="26" t="s">
        <v>1042</v>
      </c>
      <c r="J216" s="26" t="s">
        <v>1043</v>
      </c>
      <c r="K216" s="26" t="s">
        <v>1030</v>
      </c>
      <c r="L216" s="39" t="s">
        <v>22</v>
      </c>
      <c r="M216" s="8">
        <f>COUNTIF($B$1:$B$1191, B216)</f>
        <v>2</v>
      </c>
      <c r="N216" s="8">
        <f>COUNTIF($H$2:$H$1181, H216)</f>
        <v>67</v>
      </c>
    </row>
    <row r="217" spans="1:14">
      <c r="A217" s="29" t="s">
        <v>1044</v>
      </c>
      <c r="B217" s="30" t="s">
        <v>962</v>
      </c>
      <c r="C217" s="30" t="s">
        <v>962</v>
      </c>
      <c r="D217" s="31">
        <v>5562.32</v>
      </c>
      <c r="E217" s="31">
        <v>5562.32</v>
      </c>
      <c r="F217" s="30">
        <v>1</v>
      </c>
      <c r="G217" s="34">
        <f>E217/F217</f>
        <v>5562.32</v>
      </c>
      <c r="H217" s="36" t="s">
        <v>957</v>
      </c>
      <c r="I217" s="30"/>
      <c r="J217" s="30" t="s">
        <v>1045</v>
      </c>
      <c r="K217" s="30"/>
      <c r="L217" s="38" t="s">
        <v>22</v>
      </c>
      <c r="M217" s="8">
        <f>COUNTIF($B$1:$B$1191, B217)</f>
        <v>28</v>
      </c>
      <c r="N217" s="8">
        <f>COUNTIF($H$2:$H$1181, H217)</f>
        <v>67</v>
      </c>
    </row>
    <row r="218" spans="1:14">
      <c r="A218" s="32" t="s">
        <v>1046</v>
      </c>
      <c r="B218" s="26" t="s">
        <v>962</v>
      </c>
      <c r="C218" s="26" t="s">
        <v>962</v>
      </c>
      <c r="D218" s="33">
        <v>5562.32</v>
      </c>
      <c r="E218" s="33">
        <v>5562.32</v>
      </c>
      <c r="F218" s="26">
        <v>3</v>
      </c>
      <c r="G218" s="35">
        <f>E218/F218</f>
        <v>1854.1066666666666</v>
      </c>
      <c r="H218" s="37" t="s">
        <v>957</v>
      </c>
      <c r="I218" s="26"/>
      <c r="J218" s="26" t="s">
        <v>1047</v>
      </c>
      <c r="K218" s="26"/>
      <c r="L218" s="39" t="s">
        <v>22</v>
      </c>
      <c r="M218" s="8">
        <f>COUNTIF($B$1:$B$1191, B218)</f>
        <v>28</v>
      </c>
      <c r="N218" s="8">
        <f>COUNTIF($H$2:$H$1181, H218)</f>
        <v>67</v>
      </c>
    </row>
    <row r="219" spans="1:14">
      <c r="A219" s="29" t="s">
        <v>1048</v>
      </c>
      <c r="B219" s="30" t="s">
        <v>962</v>
      </c>
      <c r="C219" s="30" t="s">
        <v>962</v>
      </c>
      <c r="D219" s="31">
        <v>5562.32</v>
      </c>
      <c r="E219" s="31">
        <v>5562.32</v>
      </c>
      <c r="F219" s="30">
        <v>3</v>
      </c>
      <c r="G219" s="34">
        <f>E219/F219</f>
        <v>1854.1066666666666</v>
      </c>
      <c r="H219" s="36" t="s">
        <v>957</v>
      </c>
      <c r="I219" s="30"/>
      <c r="J219" s="30" t="s">
        <v>1049</v>
      </c>
      <c r="K219" s="30"/>
      <c r="L219" s="38" t="s">
        <v>22</v>
      </c>
      <c r="M219" s="8">
        <f>COUNTIF($B$1:$B$1191, B219)</f>
        <v>28</v>
      </c>
      <c r="N219" s="8">
        <f>COUNTIF($H$2:$H$1181, H219)</f>
        <v>67</v>
      </c>
    </row>
    <row r="220" spans="1:14">
      <c r="A220" s="32" t="s">
        <v>1050</v>
      </c>
      <c r="B220" s="26" t="s">
        <v>962</v>
      </c>
      <c r="C220" s="26" t="s">
        <v>962</v>
      </c>
      <c r="D220" s="33">
        <v>5562.32</v>
      </c>
      <c r="E220" s="33">
        <v>5562.32</v>
      </c>
      <c r="F220" s="26">
        <v>1</v>
      </c>
      <c r="G220" s="35">
        <f>E220/F220</f>
        <v>5562.32</v>
      </c>
      <c r="H220" s="37" t="s">
        <v>957</v>
      </c>
      <c r="I220" s="26"/>
      <c r="J220" s="26" t="s">
        <v>1051</v>
      </c>
      <c r="K220" s="26"/>
      <c r="L220" s="39" t="s">
        <v>22</v>
      </c>
      <c r="M220" s="8">
        <f>COUNTIF($B$1:$B$1191, B220)</f>
        <v>28</v>
      </c>
      <c r="N220" s="8">
        <f>COUNTIF($H$2:$H$1181, H220)</f>
        <v>67</v>
      </c>
    </row>
    <row r="221" spans="1:14">
      <c r="A221" s="29" t="s">
        <v>1052</v>
      </c>
      <c r="B221" s="30" t="s">
        <v>1053</v>
      </c>
      <c r="C221" s="30" t="s">
        <v>506</v>
      </c>
      <c r="D221" s="31">
        <v>139.19999999999999</v>
      </c>
      <c r="E221" s="31">
        <v>139.19999999999999</v>
      </c>
      <c r="F221" s="30">
        <v>1</v>
      </c>
      <c r="G221" s="34">
        <f>E221/F221</f>
        <v>139.19999999999999</v>
      </c>
      <c r="H221" s="36" t="s">
        <v>957</v>
      </c>
      <c r="I221" s="30" t="s">
        <v>1054</v>
      </c>
      <c r="J221" s="30" t="s">
        <v>1055</v>
      </c>
      <c r="K221" s="30" t="s">
        <v>1056</v>
      </c>
      <c r="L221" s="38" t="s">
        <v>22</v>
      </c>
      <c r="M221" s="8">
        <f>COUNTIF($B$1:$B$1191, B221)</f>
        <v>20</v>
      </c>
      <c r="N221" s="8">
        <f>COUNTIF($H$2:$H$1181, H221)</f>
        <v>67</v>
      </c>
    </row>
    <row r="222" spans="1:14">
      <c r="A222" s="32" t="s">
        <v>1057</v>
      </c>
      <c r="B222" s="26" t="s">
        <v>1058</v>
      </c>
      <c r="C222" s="26" t="s">
        <v>1059</v>
      </c>
      <c r="D222" s="33">
        <v>122.49</v>
      </c>
      <c r="E222" s="33">
        <v>133.63</v>
      </c>
      <c r="F222" s="26">
        <v>2</v>
      </c>
      <c r="G222" s="35">
        <f>E222/F222</f>
        <v>66.814999999999998</v>
      </c>
      <c r="H222" s="37" t="s">
        <v>957</v>
      </c>
      <c r="I222" s="26" t="s">
        <v>1060</v>
      </c>
      <c r="J222" s="26" t="s">
        <v>1061</v>
      </c>
      <c r="K222" s="26" t="s">
        <v>1062</v>
      </c>
      <c r="L222" s="39" t="s">
        <v>22</v>
      </c>
      <c r="M222" s="8">
        <f>COUNTIF($B$1:$B$1191, B222)</f>
        <v>2</v>
      </c>
      <c r="N222" s="8">
        <f>COUNTIF($H$2:$H$1181, H222)</f>
        <v>67</v>
      </c>
    </row>
    <row r="223" spans="1:14">
      <c r="A223" s="29" t="s">
        <v>1063</v>
      </c>
      <c r="B223" s="30" t="s">
        <v>1053</v>
      </c>
      <c r="C223" s="30" t="s">
        <v>506</v>
      </c>
      <c r="D223" s="31">
        <v>194.88</v>
      </c>
      <c r="E223" s="31">
        <v>194.88</v>
      </c>
      <c r="F223" s="30">
        <v>1</v>
      </c>
      <c r="G223" s="34">
        <f>E223/F223</f>
        <v>194.88</v>
      </c>
      <c r="H223" s="36" t="s">
        <v>957</v>
      </c>
      <c r="I223" s="30" t="s">
        <v>1064</v>
      </c>
      <c r="J223" s="30" t="s">
        <v>1065</v>
      </c>
      <c r="K223" s="30" t="s">
        <v>1066</v>
      </c>
      <c r="L223" s="38" t="s">
        <v>22</v>
      </c>
      <c r="M223" s="8">
        <f>COUNTIF($B$1:$B$1191, B223)</f>
        <v>20</v>
      </c>
      <c r="N223" s="8">
        <f>COUNTIF($H$2:$H$1181, H223)</f>
        <v>67</v>
      </c>
    </row>
    <row r="224" spans="1:14">
      <c r="A224" s="32" t="s">
        <v>1067</v>
      </c>
      <c r="B224" s="26" t="s">
        <v>1068</v>
      </c>
      <c r="C224" s="26" t="s">
        <v>1069</v>
      </c>
      <c r="D224" s="33">
        <v>105.79</v>
      </c>
      <c r="E224" s="33">
        <v>105.79</v>
      </c>
      <c r="F224" s="26">
        <v>1</v>
      </c>
      <c r="G224" s="35">
        <f>E224/F224</f>
        <v>105.79</v>
      </c>
      <c r="H224" s="37" t="s">
        <v>957</v>
      </c>
      <c r="I224" s="26" t="s">
        <v>1070</v>
      </c>
      <c r="J224" s="26" t="s">
        <v>1071</v>
      </c>
      <c r="K224" s="26" t="s">
        <v>1072</v>
      </c>
      <c r="L224" s="39" t="s">
        <v>22</v>
      </c>
      <c r="M224" s="8">
        <f>COUNTIF($B$1:$B$1191, B224)</f>
        <v>3</v>
      </c>
      <c r="N224" s="8">
        <f>COUNTIF($H$2:$H$1181, H224)</f>
        <v>67</v>
      </c>
    </row>
    <row r="225" spans="1:14">
      <c r="A225" s="29" t="s">
        <v>1073</v>
      </c>
      <c r="B225" s="30" t="s">
        <v>1074</v>
      </c>
      <c r="C225" s="30" t="s">
        <v>1075</v>
      </c>
      <c r="D225" s="31">
        <v>105.79</v>
      </c>
      <c r="E225" s="31">
        <v>105.79</v>
      </c>
      <c r="F225" s="30">
        <v>1</v>
      </c>
      <c r="G225" s="34">
        <f>E225/F225</f>
        <v>105.79</v>
      </c>
      <c r="H225" s="36" t="s">
        <v>957</v>
      </c>
      <c r="I225" s="30" t="s">
        <v>1076</v>
      </c>
      <c r="J225" s="30" t="s">
        <v>1077</v>
      </c>
      <c r="K225" s="30" t="s">
        <v>1078</v>
      </c>
      <c r="L225" s="38" t="s">
        <v>22</v>
      </c>
      <c r="M225" s="8">
        <f>COUNTIF($B$1:$B$1191, B225)</f>
        <v>1</v>
      </c>
      <c r="N225" s="8">
        <f>COUNTIF($H$2:$H$1181, H225)</f>
        <v>67</v>
      </c>
    </row>
    <row r="226" spans="1:14">
      <c r="A226" s="32" t="s">
        <v>1079</v>
      </c>
      <c r="B226" s="26" t="s">
        <v>856</v>
      </c>
      <c r="C226" s="26" t="s">
        <v>857</v>
      </c>
      <c r="D226" s="33">
        <v>77.95</v>
      </c>
      <c r="E226" s="33">
        <v>89.09</v>
      </c>
      <c r="F226" s="26">
        <v>2</v>
      </c>
      <c r="G226" s="35">
        <f>E226/F226</f>
        <v>44.545000000000002</v>
      </c>
      <c r="H226" s="37" t="s">
        <v>957</v>
      </c>
      <c r="I226" s="26" t="s">
        <v>1080</v>
      </c>
      <c r="J226" s="26" t="s">
        <v>1081</v>
      </c>
      <c r="K226" s="26" t="s">
        <v>1082</v>
      </c>
      <c r="L226" s="39" t="s">
        <v>22</v>
      </c>
      <c r="M226" s="8">
        <f>COUNTIF($B$1:$B$1191, B226)</f>
        <v>19</v>
      </c>
      <c r="N226" s="8">
        <f>COUNTIF($H$2:$H$1181, H226)</f>
        <v>67</v>
      </c>
    </row>
    <row r="227" spans="1:14">
      <c r="A227" s="29" t="s">
        <v>1083</v>
      </c>
      <c r="B227" s="30" t="s">
        <v>971</v>
      </c>
      <c r="C227" s="30" t="s">
        <v>972</v>
      </c>
      <c r="D227" s="31">
        <v>55.68</v>
      </c>
      <c r="E227" s="31">
        <v>55.68</v>
      </c>
      <c r="F227" s="30">
        <v>1</v>
      </c>
      <c r="G227" s="34">
        <f>E227/F227</f>
        <v>55.68</v>
      </c>
      <c r="H227" s="36" t="s">
        <v>957</v>
      </c>
      <c r="I227" s="30" t="s">
        <v>1084</v>
      </c>
      <c r="J227" s="30" t="s">
        <v>1085</v>
      </c>
      <c r="K227" s="30" t="s">
        <v>1086</v>
      </c>
      <c r="L227" s="38" t="s">
        <v>22</v>
      </c>
      <c r="M227" s="8">
        <f>COUNTIF($B$1:$B$1191, B227)</f>
        <v>6</v>
      </c>
      <c r="N227" s="8">
        <f>COUNTIF($H$2:$H$1181, H227)</f>
        <v>67</v>
      </c>
    </row>
    <row r="228" spans="1:14">
      <c r="A228" s="32" t="s">
        <v>1087</v>
      </c>
      <c r="B228" s="26" t="s">
        <v>962</v>
      </c>
      <c r="C228" s="26" t="s">
        <v>962</v>
      </c>
      <c r="D228" s="33">
        <v>5554.03</v>
      </c>
      <c r="E228" s="33">
        <v>5554.03</v>
      </c>
      <c r="F228" s="26">
        <v>4</v>
      </c>
      <c r="G228" s="35">
        <f>E228/F228</f>
        <v>1388.5074999999999</v>
      </c>
      <c r="H228" s="37" t="s">
        <v>957</v>
      </c>
      <c r="I228" s="26"/>
      <c r="J228" s="26" t="s">
        <v>1088</v>
      </c>
      <c r="K228" s="26"/>
      <c r="L228" s="39" t="s">
        <v>22</v>
      </c>
      <c r="M228" s="8">
        <f>COUNTIF($B$1:$B$1191, B228)</f>
        <v>28</v>
      </c>
      <c r="N228" s="8">
        <f>COUNTIF($H$2:$H$1181, H228)</f>
        <v>67</v>
      </c>
    </row>
    <row r="229" spans="1:14">
      <c r="A229" s="29" t="s">
        <v>1089</v>
      </c>
      <c r="B229" s="30" t="s">
        <v>962</v>
      </c>
      <c r="C229" s="30" t="s">
        <v>962</v>
      </c>
      <c r="D229" s="31">
        <v>2778.37</v>
      </c>
      <c r="E229" s="31">
        <v>2778.37</v>
      </c>
      <c r="F229" s="30">
        <v>1</v>
      </c>
      <c r="G229" s="34">
        <f>E229/F229</f>
        <v>2778.37</v>
      </c>
      <c r="H229" s="36" t="s">
        <v>957</v>
      </c>
      <c r="I229" s="30"/>
      <c r="J229" s="30" t="s">
        <v>1090</v>
      </c>
      <c r="K229" s="30"/>
      <c r="L229" s="38" t="s">
        <v>22</v>
      </c>
      <c r="M229" s="8">
        <f>COUNTIF($B$1:$B$1191, B229)</f>
        <v>28</v>
      </c>
      <c r="N229" s="8">
        <f>COUNTIF($H$2:$H$1181, H229)</f>
        <v>67</v>
      </c>
    </row>
    <row r="230" spans="1:14">
      <c r="A230" s="32" t="s">
        <v>1091</v>
      </c>
      <c r="B230" s="26" t="s">
        <v>1053</v>
      </c>
      <c r="C230" s="26" t="s">
        <v>506</v>
      </c>
      <c r="D230" s="33">
        <v>194.59</v>
      </c>
      <c r="E230" s="33">
        <v>194.59</v>
      </c>
      <c r="F230" s="26">
        <v>1</v>
      </c>
      <c r="G230" s="35">
        <f>E230/F230</f>
        <v>194.59</v>
      </c>
      <c r="H230" s="37" t="s">
        <v>957</v>
      </c>
      <c r="I230" s="26" t="s">
        <v>1092</v>
      </c>
      <c r="J230" s="26" t="s">
        <v>1093</v>
      </c>
      <c r="K230" s="26" t="s">
        <v>1094</v>
      </c>
      <c r="L230" s="39" t="s">
        <v>22</v>
      </c>
      <c r="M230" s="8">
        <f>COUNTIF($B$1:$B$1191, B230)</f>
        <v>20</v>
      </c>
      <c r="N230" s="8">
        <f>COUNTIF($H$2:$H$1181, H230)</f>
        <v>67</v>
      </c>
    </row>
    <row r="231" spans="1:14">
      <c r="A231" s="29" t="s">
        <v>1095</v>
      </c>
      <c r="B231" s="30" t="s">
        <v>1096</v>
      </c>
      <c r="C231" s="30" t="s">
        <v>1097</v>
      </c>
      <c r="D231" s="31">
        <v>116.75</v>
      </c>
      <c r="E231" s="31">
        <v>138.99</v>
      </c>
      <c r="F231" s="30">
        <v>3</v>
      </c>
      <c r="G231" s="34">
        <f>E231/F231</f>
        <v>46.330000000000005</v>
      </c>
      <c r="H231" s="36" t="s">
        <v>957</v>
      </c>
      <c r="I231" s="30" t="s">
        <v>1098</v>
      </c>
      <c r="J231" s="30" t="s">
        <v>1099</v>
      </c>
      <c r="K231" s="30" t="s">
        <v>1100</v>
      </c>
      <c r="L231" s="38" t="s">
        <v>22</v>
      </c>
      <c r="M231" s="8">
        <f>COUNTIF($B$1:$B$1191, B231)</f>
        <v>1</v>
      </c>
      <c r="N231" s="8">
        <f>COUNTIF($H$2:$H$1181, H231)</f>
        <v>67</v>
      </c>
    </row>
    <row r="232" spans="1:14">
      <c r="A232" s="32" t="s">
        <v>1101</v>
      </c>
      <c r="B232" s="26" t="s">
        <v>1102</v>
      </c>
      <c r="C232" s="26" t="s">
        <v>1103</v>
      </c>
      <c r="D232" s="33">
        <v>105.63</v>
      </c>
      <c r="E232" s="33">
        <v>127.87</v>
      </c>
      <c r="F232" s="26">
        <v>2</v>
      </c>
      <c r="G232" s="35">
        <f>E232/F232</f>
        <v>63.935000000000002</v>
      </c>
      <c r="H232" s="37" t="s">
        <v>957</v>
      </c>
      <c r="I232" s="26" t="s">
        <v>1104</v>
      </c>
      <c r="J232" s="26" t="s">
        <v>1105</v>
      </c>
      <c r="K232" s="26" t="s">
        <v>1106</v>
      </c>
      <c r="L232" s="39" t="s">
        <v>22</v>
      </c>
      <c r="M232" s="8">
        <f>COUNTIF($B$1:$B$1191, B232)</f>
        <v>1</v>
      </c>
      <c r="N232" s="8">
        <f>COUNTIF($H$2:$H$1181, H232)</f>
        <v>67</v>
      </c>
    </row>
    <row r="233" spans="1:14">
      <c r="A233" s="29" t="s">
        <v>1107</v>
      </c>
      <c r="B233" s="30" t="s">
        <v>856</v>
      </c>
      <c r="C233" s="30" t="s">
        <v>857</v>
      </c>
      <c r="D233" s="31">
        <v>88.95</v>
      </c>
      <c r="E233" s="31">
        <v>88.95</v>
      </c>
      <c r="F233" s="30">
        <v>1</v>
      </c>
      <c r="G233" s="34">
        <f>E233/F233</f>
        <v>88.95</v>
      </c>
      <c r="H233" s="36" t="s">
        <v>957</v>
      </c>
      <c r="I233" s="30" t="s">
        <v>1108</v>
      </c>
      <c r="J233" s="30" t="s">
        <v>1109</v>
      </c>
      <c r="K233" s="30" t="s">
        <v>1110</v>
      </c>
      <c r="L233" s="38" t="s">
        <v>22</v>
      </c>
      <c r="M233" s="8">
        <f>COUNTIF($B$1:$B$1191, B233)</f>
        <v>19</v>
      </c>
      <c r="N233" s="8">
        <f>COUNTIF($H$2:$H$1181, H233)</f>
        <v>67</v>
      </c>
    </row>
    <row r="234" spans="1:14">
      <c r="A234" s="32" t="s">
        <v>1111</v>
      </c>
      <c r="B234" s="26" t="s">
        <v>753</v>
      </c>
      <c r="C234" s="26" t="s">
        <v>754</v>
      </c>
      <c r="D234" s="33">
        <v>83.52</v>
      </c>
      <c r="E234" s="33">
        <v>83.52</v>
      </c>
      <c r="F234" s="26">
        <v>1</v>
      </c>
      <c r="G234" s="35">
        <f>E234/F234</f>
        <v>83.52</v>
      </c>
      <c r="H234" s="37" t="s">
        <v>957</v>
      </c>
      <c r="I234" s="26" t="s">
        <v>1112</v>
      </c>
      <c r="J234" s="26" t="s">
        <v>1113</v>
      </c>
      <c r="K234" s="26" t="s">
        <v>1114</v>
      </c>
      <c r="L234" s="39" t="s">
        <v>22</v>
      </c>
      <c r="M234" s="8">
        <f>COUNTIF($B$1:$B$1191, B234)</f>
        <v>24</v>
      </c>
      <c r="N234" s="8">
        <f>COUNTIF($H$2:$H$1181, H234)</f>
        <v>67</v>
      </c>
    </row>
    <row r="235" spans="1:14">
      <c r="A235" s="29" t="s">
        <v>1115</v>
      </c>
      <c r="B235" s="30" t="s">
        <v>1116</v>
      </c>
      <c r="C235" s="30" t="s">
        <v>1117</v>
      </c>
      <c r="D235" s="31">
        <v>83.39</v>
      </c>
      <c r="E235" s="31">
        <v>83.39</v>
      </c>
      <c r="F235" s="30">
        <v>1</v>
      </c>
      <c r="G235" s="34">
        <f>E235/F235</f>
        <v>83.39</v>
      </c>
      <c r="H235" s="36" t="s">
        <v>957</v>
      </c>
      <c r="I235" s="30" t="s">
        <v>1118</v>
      </c>
      <c r="J235" s="30" t="s">
        <v>1119</v>
      </c>
      <c r="K235" s="30" t="s">
        <v>1120</v>
      </c>
      <c r="L235" s="38" t="s">
        <v>22</v>
      </c>
      <c r="M235" s="8">
        <f>COUNTIF($B$1:$B$1191, B235)</f>
        <v>4</v>
      </c>
      <c r="N235" s="8">
        <f>COUNTIF($H$2:$H$1181, H235)</f>
        <v>67</v>
      </c>
    </row>
    <row r="236" spans="1:14">
      <c r="A236" s="32" t="s">
        <v>1121</v>
      </c>
      <c r="B236" s="26" t="s">
        <v>1122</v>
      </c>
      <c r="C236" s="26" t="s">
        <v>1123</v>
      </c>
      <c r="D236" s="33">
        <v>83.52</v>
      </c>
      <c r="E236" s="33">
        <v>83.52</v>
      </c>
      <c r="F236" s="26">
        <v>1</v>
      </c>
      <c r="G236" s="35">
        <f>E236/F236</f>
        <v>83.52</v>
      </c>
      <c r="H236" s="37" t="s">
        <v>957</v>
      </c>
      <c r="I236" s="26" t="s">
        <v>1124</v>
      </c>
      <c r="J236" s="26" t="s">
        <v>1125</v>
      </c>
      <c r="K236" s="26" t="s">
        <v>1126</v>
      </c>
      <c r="L236" s="39" t="s">
        <v>22</v>
      </c>
      <c r="M236" s="8">
        <f>COUNTIF($B$1:$B$1191, B236)</f>
        <v>3</v>
      </c>
      <c r="N236" s="8">
        <f>COUNTIF($H$2:$H$1181, H236)</f>
        <v>67</v>
      </c>
    </row>
    <row r="237" spans="1:14">
      <c r="A237" s="29" t="s">
        <v>1127</v>
      </c>
      <c r="B237" s="30" t="s">
        <v>1128</v>
      </c>
      <c r="C237" s="30" t="s">
        <v>1129</v>
      </c>
      <c r="D237" s="31">
        <v>50.04</v>
      </c>
      <c r="E237" s="31">
        <v>83.39</v>
      </c>
      <c r="F237" s="30">
        <v>2</v>
      </c>
      <c r="G237" s="34">
        <f>E237/F237</f>
        <v>41.695</v>
      </c>
      <c r="H237" s="36" t="s">
        <v>957</v>
      </c>
      <c r="I237" s="30" t="s">
        <v>1130</v>
      </c>
      <c r="J237" s="30" t="s">
        <v>1131</v>
      </c>
      <c r="K237" s="30" t="s">
        <v>1132</v>
      </c>
      <c r="L237" s="38" t="s">
        <v>22</v>
      </c>
      <c r="M237" s="8">
        <f>COUNTIF($B$1:$B$1191, B237)</f>
        <v>2</v>
      </c>
      <c r="N237" s="8">
        <f>COUNTIF($H$2:$H$1181, H237)</f>
        <v>67</v>
      </c>
    </row>
    <row r="238" spans="1:14">
      <c r="A238" s="32" t="s">
        <v>1133</v>
      </c>
      <c r="B238" s="26" t="s">
        <v>1134</v>
      </c>
      <c r="C238" s="26" t="s">
        <v>1135</v>
      </c>
      <c r="D238" s="33">
        <v>222.72</v>
      </c>
      <c r="E238" s="33">
        <v>222.72</v>
      </c>
      <c r="F238" s="26">
        <v>1</v>
      </c>
      <c r="G238" s="35">
        <f>E238/F238</f>
        <v>222.72</v>
      </c>
      <c r="H238" s="37" t="s">
        <v>957</v>
      </c>
      <c r="I238" s="26" t="s">
        <v>1136</v>
      </c>
      <c r="J238" s="26" t="s">
        <v>1137</v>
      </c>
      <c r="K238" s="26" t="s">
        <v>1138</v>
      </c>
      <c r="L238" s="39" t="s">
        <v>22</v>
      </c>
      <c r="M238" s="8">
        <f>COUNTIF($B$1:$B$1191, B238)</f>
        <v>1</v>
      </c>
      <c r="N238" s="8">
        <f>COUNTIF($H$2:$H$1181, H238)</f>
        <v>67</v>
      </c>
    </row>
    <row r="239" spans="1:14">
      <c r="A239" s="29" t="s">
        <v>1139</v>
      </c>
      <c r="B239" s="30" t="s">
        <v>1053</v>
      </c>
      <c r="C239" s="30" t="s">
        <v>506</v>
      </c>
      <c r="D239" s="31">
        <v>194.59</v>
      </c>
      <c r="E239" s="31">
        <v>194.59</v>
      </c>
      <c r="F239" s="30">
        <v>1</v>
      </c>
      <c r="G239" s="34">
        <f>E239/F239</f>
        <v>194.59</v>
      </c>
      <c r="H239" s="36" t="s">
        <v>957</v>
      </c>
      <c r="I239" s="30" t="s">
        <v>1140</v>
      </c>
      <c r="J239" s="30" t="s">
        <v>1141</v>
      </c>
      <c r="K239" s="30" t="s">
        <v>1142</v>
      </c>
      <c r="L239" s="38" t="s">
        <v>22</v>
      </c>
      <c r="M239" s="8">
        <f>COUNTIF($B$1:$B$1191, B239)</f>
        <v>20</v>
      </c>
      <c r="N239" s="8">
        <f>COUNTIF($H$2:$H$1181, H239)</f>
        <v>67</v>
      </c>
    </row>
    <row r="240" spans="1:14">
      <c r="A240" s="32" t="s">
        <v>1143</v>
      </c>
      <c r="B240" s="26" t="s">
        <v>1144</v>
      </c>
      <c r="C240" s="26" t="s">
        <v>1145</v>
      </c>
      <c r="D240" s="33">
        <v>161.22999999999999</v>
      </c>
      <c r="E240" s="33">
        <v>717.19</v>
      </c>
      <c r="F240" s="26">
        <v>16</v>
      </c>
      <c r="G240" s="35">
        <f>E240/F240</f>
        <v>44.824375000000003</v>
      </c>
      <c r="H240" s="37" t="s">
        <v>957</v>
      </c>
      <c r="I240" s="26" t="s">
        <v>1146</v>
      </c>
      <c r="J240" s="26" t="s">
        <v>1147</v>
      </c>
      <c r="K240" s="26" t="s">
        <v>1148</v>
      </c>
      <c r="L240" s="39" t="s">
        <v>22</v>
      </c>
      <c r="M240" s="8">
        <f>COUNTIF($B$1:$B$1191, B240)</f>
        <v>1</v>
      </c>
      <c r="N240" s="8">
        <f>COUNTIF($H$2:$H$1181, H240)</f>
        <v>67</v>
      </c>
    </row>
    <row r="241" spans="1:14">
      <c r="A241" s="29" t="s">
        <v>1149</v>
      </c>
      <c r="B241" s="30" t="s">
        <v>1150</v>
      </c>
      <c r="C241" s="30" t="s">
        <v>1151</v>
      </c>
      <c r="D241" s="31">
        <v>138.99</v>
      </c>
      <c r="E241" s="31">
        <v>138.99</v>
      </c>
      <c r="F241" s="30">
        <v>1</v>
      </c>
      <c r="G241" s="34">
        <f>E241/F241</f>
        <v>138.99</v>
      </c>
      <c r="H241" s="36" t="s">
        <v>957</v>
      </c>
      <c r="I241" s="30" t="s">
        <v>1152</v>
      </c>
      <c r="J241" s="30" t="s">
        <v>1153</v>
      </c>
      <c r="K241" s="30" t="s">
        <v>1154</v>
      </c>
      <c r="L241" s="38" t="s">
        <v>22</v>
      </c>
      <c r="M241" s="8">
        <f>COUNTIF($B$1:$B$1191, B241)</f>
        <v>2</v>
      </c>
      <c r="N241" s="8">
        <f>COUNTIF($H$2:$H$1181, H241)</f>
        <v>67</v>
      </c>
    </row>
    <row r="242" spans="1:14">
      <c r="A242" s="32" t="s">
        <v>1155</v>
      </c>
      <c r="B242" s="26" t="s">
        <v>1156</v>
      </c>
      <c r="C242" s="26" t="s">
        <v>1157</v>
      </c>
      <c r="D242" s="33">
        <v>83.39</v>
      </c>
      <c r="E242" s="33">
        <v>83.39</v>
      </c>
      <c r="F242" s="26">
        <v>1</v>
      </c>
      <c r="G242" s="35">
        <f>E242/F242</f>
        <v>83.39</v>
      </c>
      <c r="H242" s="37" t="s">
        <v>957</v>
      </c>
      <c r="I242" s="26" t="s">
        <v>1158</v>
      </c>
      <c r="J242" s="26" t="s">
        <v>1159</v>
      </c>
      <c r="K242" s="26" t="s">
        <v>1160</v>
      </c>
      <c r="L242" s="39" t="s">
        <v>22</v>
      </c>
      <c r="M242" s="8">
        <f>COUNTIF($B$1:$B$1191, B242)</f>
        <v>6</v>
      </c>
      <c r="N242" s="8">
        <f>COUNTIF($H$2:$H$1181, H242)</f>
        <v>67</v>
      </c>
    </row>
    <row r="243" spans="1:14">
      <c r="A243" s="29" t="s">
        <v>1161</v>
      </c>
      <c r="B243" s="30" t="s">
        <v>1162</v>
      </c>
      <c r="C243" s="30" t="s">
        <v>1163</v>
      </c>
      <c r="D243" s="31">
        <v>72.27</v>
      </c>
      <c r="E243" s="31">
        <v>138.99</v>
      </c>
      <c r="F243" s="30">
        <v>2</v>
      </c>
      <c r="G243" s="34">
        <f>E243/F243</f>
        <v>69.495000000000005</v>
      </c>
      <c r="H243" s="36" t="s">
        <v>957</v>
      </c>
      <c r="I243" s="30" t="s">
        <v>1164</v>
      </c>
      <c r="J243" s="30" t="s">
        <v>1165</v>
      </c>
      <c r="K243" s="30" t="s">
        <v>1166</v>
      </c>
      <c r="L243" s="38" t="s">
        <v>22</v>
      </c>
      <c r="M243" s="8">
        <f>COUNTIF($B$1:$B$1191, B243)</f>
        <v>2</v>
      </c>
      <c r="N243" s="8">
        <f>COUNTIF($H$2:$H$1181, H243)</f>
        <v>67</v>
      </c>
    </row>
    <row r="244" spans="1:14">
      <c r="A244" s="32" t="s">
        <v>1167</v>
      </c>
      <c r="B244" s="26" t="s">
        <v>1168</v>
      </c>
      <c r="C244" s="26" t="s">
        <v>1169</v>
      </c>
      <c r="D244" s="33">
        <v>83.39</v>
      </c>
      <c r="E244" s="33">
        <v>111.19</v>
      </c>
      <c r="F244" s="26">
        <v>2</v>
      </c>
      <c r="G244" s="35">
        <f>E244/F244</f>
        <v>55.594999999999999</v>
      </c>
      <c r="H244" s="37" t="s">
        <v>957</v>
      </c>
      <c r="I244" s="26" t="s">
        <v>1170</v>
      </c>
      <c r="J244" s="26" t="s">
        <v>1171</v>
      </c>
      <c r="K244" s="26" t="s">
        <v>1172</v>
      </c>
      <c r="L244" s="39" t="s">
        <v>22</v>
      </c>
      <c r="M244" s="8">
        <f>COUNTIF($B$1:$B$1191, B244)</f>
        <v>1</v>
      </c>
      <c r="N244" s="8">
        <f>COUNTIF($H$2:$H$1181, H244)</f>
        <v>67</v>
      </c>
    </row>
    <row r="245" spans="1:14">
      <c r="A245" s="29" t="s">
        <v>1173</v>
      </c>
      <c r="B245" s="30" t="s">
        <v>505</v>
      </c>
      <c r="C245" s="30" t="s">
        <v>506</v>
      </c>
      <c r="D245" s="31">
        <v>272.42</v>
      </c>
      <c r="E245" s="31">
        <v>272.42</v>
      </c>
      <c r="F245" s="30">
        <v>1</v>
      </c>
      <c r="G245" s="34">
        <f>E245/F245</f>
        <v>272.42</v>
      </c>
      <c r="H245" s="36" t="s">
        <v>957</v>
      </c>
      <c r="I245" s="30" t="s">
        <v>1174</v>
      </c>
      <c r="J245" s="30" t="s">
        <v>1175</v>
      </c>
      <c r="K245" s="30" t="s">
        <v>1176</v>
      </c>
      <c r="L245" s="38" t="s">
        <v>22</v>
      </c>
      <c r="M245" s="8">
        <f>COUNTIF($B$1:$B$1191, B245)</f>
        <v>4</v>
      </c>
      <c r="N245" s="8">
        <f>COUNTIF($H$2:$H$1181, H245)</f>
        <v>67</v>
      </c>
    </row>
    <row r="246" spans="1:14">
      <c r="A246" s="32" t="s">
        <v>1177</v>
      </c>
      <c r="B246" s="26" t="s">
        <v>1178</v>
      </c>
      <c r="C246" s="26" t="s">
        <v>1179</v>
      </c>
      <c r="D246" s="33">
        <v>105.63</v>
      </c>
      <c r="E246" s="33">
        <v>105.63</v>
      </c>
      <c r="F246" s="26">
        <v>1</v>
      </c>
      <c r="G246" s="35">
        <f>E246/F246</f>
        <v>105.63</v>
      </c>
      <c r="H246" s="37" t="s">
        <v>957</v>
      </c>
      <c r="I246" s="26" t="s">
        <v>1180</v>
      </c>
      <c r="J246" s="26" t="s">
        <v>1181</v>
      </c>
      <c r="K246" s="26" t="s">
        <v>1182</v>
      </c>
      <c r="L246" s="39" t="s">
        <v>22</v>
      </c>
      <c r="M246" s="8">
        <f>COUNTIF($B$1:$B$1191, B246)</f>
        <v>4</v>
      </c>
      <c r="N246" s="8">
        <f>COUNTIF($H$2:$H$1181, H246)</f>
        <v>67</v>
      </c>
    </row>
    <row r="247" spans="1:14">
      <c r="A247" s="29" t="s">
        <v>1183</v>
      </c>
      <c r="B247" s="30" t="s">
        <v>1184</v>
      </c>
      <c r="C247" s="30" t="s">
        <v>1185</v>
      </c>
      <c r="D247" s="31">
        <v>105.63</v>
      </c>
      <c r="E247" s="31">
        <v>105.63</v>
      </c>
      <c r="F247" s="30">
        <v>1</v>
      </c>
      <c r="G247" s="34">
        <f>E247/F247</f>
        <v>105.63</v>
      </c>
      <c r="H247" s="36" t="s">
        <v>957</v>
      </c>
      <c r="I247" s="30" t="s">
        <v>1186</v>
      </c>
      <c r="J247" s="30" t="s">
        <v>1187</v>
      </c>
      <c r="K247" s="30" t="s">
        <v>1188</v>
      </c>
      <c r="L247" s="38" t="s">
        <v>22</v>
      </c>
      <c r="M247" s="8">
        <f>COUNTIF($B$1:$B$1191, B247)</f>
        <v>4</v>
      </c>
      <c r="N247" s="8">
        <f>COUNTIF($H$2:$H$1181, H247)</f>
        <v>67</v>
      </c>
    </row>
    <row r="248" spans="1:14">
      <c r="A248" s="32" t="s">
        <v>1189</v>
      </c>
      <c r="B248" s="26" t="s">
        <v>1190</v>
      </c>
      <c r="C248" s="26" t="s">
        <v>1191</v>
      </c>
      <c r="D248" s="33">
        <v>100.07</v>
      </c>
      <c r="E248" s="33">
        <v>100.07</v>
      </c>
      <c r="F248" s="26">
        <v>1</v>
      </c>
      <c r="G248" s="35">
        <f>E248/F248</f>
        <v>100.07</v>
      </c>
      <c r="H248" s="37" t="s">
        <v>957</v>
      </c>
      <c r="I248" s="26" t="s">
        <v>1192</v>
      </c>
      <c r="J248" s="26" t="s">
        <v>1193</v>
      </c>
      <c r="K248" s="26" t="s">
        <v>1194</v>
      </c>
      <c r="L248" s="39" t="s">
        <v>22</v>
      </c>
      <c r="M248" s="8">
        <f>COUNTIF($B$1:$B$1191, B248)</f>
        <v>1</v>
      </c>
      <c r="N248" s="8">
        <f>COUNTIF($H$2:$H$1181, H248)</f>
        <v>67</v>
      </c>
    </row>
    <row r="249" spans="1:14">
      <c r="A249" s="29" t="s">
        <v>1195</v>
      </c>
      <c r="B249" s="30" t="s">
        <v>426</v>
      </c>
      <c r="C249" s="30" t="s">
        <v>427</v>
      </c>
      <c r="D249" s="31">
        <v>100.07</v>
      </c>
      <c r="E249" s="31">
        <v>100.07</v>
      </c>
      <c r="F249" s="30">
        <v>1</v>
      </c>
      <c r="G249" s="34">
        <f>E249/F249</f>
        <v>100.07</v>
      </c>
      <c r="H249" s="36" t="s">
        <v>957</v>
      </c>
      <c r="I249" s="30" t="s">
        <v>1196</v>
      </c>
      <c r="J249" s="30" t="s">
        <v>1197</v>
      </c>
      <c r="K249" s="30" t="s">
        <v>1198</v>
      </c>
      <c r="L249" s="38" t="s">
        <v>22</v>
      </c>
      <c r="M249" s="8">
        <f>COUNTIF($B$1:$B$1191, B249)</f>
        <v>2</v>
      </c>
      <c r="N249" s="8">
        <f>COUNTIF($H$2:$H$1181, H249)</f>
        <v>67</v>
      </c>
    </row>
    <row r="250" spans="1:14">
      <c r="A250" s="32" t="s">
        <v>1199</v>
      </c>
      <c r="B250" s="26" t="s">
        <v>1156</v>
      </c>
      <c r="C250" s="26" t="s">
        <v>1157</v>
      </c>
      <c r="D250" s="33">
        <v>83.39</v>
      </c>
      <c r="E250" s="33">
        <v>83.39</v>
      </c>
      <c r="F250" s="26">
        <v>1</v>
      </c>
      <c r="G250" s="35">
        <f>E250/F250</f>
        <v>83.39</v>
      </c>
      <c r="H250" s="37" t="s">
        <v>957</v>
      </c>
      <c r="I250" s="26" t="s">
        <v>1200</v>
      </c>
      <c r="J250" s="26" t="s">
        <v>1201</v>
      </c>
      <c r="K250" s="26" t="s">
        <v>1202</v>
      </c>
      <c r="L250" s="39" t="s">
        <v>22</v>
      </c>
      <c r="M250" s="8">
        <f>COUNTIF($B$1:$B$1191, B250)</f>
        <v>6</v>
      </c>
      <c r="N250" s="8">
        <f>COUNTIF($H$2:$H$1181, H250)</f>
        <v>67</v>
      </c>
    </row>
    <row r="251" spans="1:14">
      <c r="A251" s="29" t="s">
        <v>1203</v>
      </c>
      <c r="B251" s="30" t="s">
        <v>465</v>
      </c>
      <c r="C251" s="30" t="s">
        <v>466</v>
      </c>
      <c r="D251" s="31">
        <v>83.39</v>
      </c>
      <c r="E251" s="31">
        <v>83.39</v>
      </c>
      <c r="F251" s="30">
        <v>1</v>
      </c>
      <c r="G251" s="34">
        <f>E251/F251</f>
        <v>83.39</v>
      </c>
      <c r="H251" s="36" t="s">
        <v>957</v>
      </c>
      <c r="I251" s="30" t="s">
        <v>1204</v>
      </c>
      <c r="J251" s="30" t="s">
        <v>1205</v>
      </c>
      <c r="K251" s="30" t="s">
        <v>1206</v>
      </c>
      <c r="L251" s="38" t="s">
        <v>22</v>
      </c>
      <c r="M251" s="8">
        <f>COUNTIF($B$1:$B$1191, B251)</f>
        <v>8</v>
      </c>
      <c r="N251" s="8">
        <f>COUNTIF($H$2:$H$1181, H251)</f>
        <v>67</v>
      </c>
    </row>
    <row r="252" spans="1:14">
      <c r="A252" s="32" t="s">
        <v>1207</v>
      </c>
      <c r="B252" s="26" t="s">
        <v>1068</v>
      </c>
      <c r="C252" s="26" t="s">
        <v>1069</v>
      </c>
      <c r="D252" s="33">
        <v>100.07</v>
      </c>
      <c r="E252" s="33">
        <v>100.07</v>
      </c>
      <c r="F252" s="26">
        <v>1</v>
      </c>
      <c r="G252" s="35">
        <f>E252/F252</f>
        <v>100.07</v>
      </c>
      <c r="H252" s="37" t="s">
        <v>957</v>
      </c>
      <c r="I252" s="26" t="s">
        <v>1208</v>
      </c>
      <c r="J252" s="26" t="s">
        <v>1209</v>
      </c>
      <c r="K252" s="26" t="s">
        <v>1210</v>
      </c>
      <c r="L252" s="39" t="s">
        <v>22</v>
      </c>
      <c r="M252" s="8">
        <f>COUNTIF($B$1:$B$1191, B252)</f>
        <v>3</v>
      </c>
      <c r="N252" s="8">
        <f>COUNTIF($H$2:$H$1181, H252)</f>
        <v>67</v>
      </c>
    </row>
    <row r="253" spans="1:14">
      <c r="A253" s="29" t="s">
        <v>1211</v>
      </c>
      <c r="B253" s="30" t="s">
        <v>438</v>
      </c>
      <c r="C253" s="30" t="s">
        <v>439</v>
      </c>
      <c r="D253" s="31">
        <v>88.95</v>
      </c>
      <c r="E253" s="31">
        <v>100.07</v>
      </c>
      <c r="F253" s="30">
        <v>2</v>
      </c>
      <c r="G253" s="34">
        <f>E253/F253</f>
        <v>50.034999999999997</v>
      </c>
      <c r="H253" s="36" t="s">
        <v>957</v>
      </c>
      <c r="I253" s="30" t="s">
        <v>1212</v>
      </c>
      <c r="J253" s="30" t="s">
        <v>1213</v>
      </c>
      <c r="K253" s="30" t="s">
        <v>1214</v>
      </c>
      <c r="L253" s="38" t="s">
        <v>22</v>
      </c>
      <c r="M253" s="8">
        <f>COUNTIF($B$1:$B$1191, B253)</f>
        <v>14</v>
      </c>
      <c r="N253" s="8">
        <f>COUNTIF($H$2:$H$1181, H253)</f>
        <v>67</v>
      </c>
    </row>
    <row r="254" spans="1:14">
      <c r="A254" s="32" t="s">
        <v>1215</v>
      </c>
      <c r="B254" s="26" t="s">
        <v>1216</v>
      </c>
      <c r="C254" s="26" t="s">
        <v>1217</v>
      </c>
      <c r="D254" s="33">
        <v>100.07</v>
      </c>
      <c r="E254" s="33">
        <v>138.99</v>
      </c>
      <c r="F254" s="26">
        <v>7</v>
      </c>
      <c r="G254" s="35">
        <f>E254/F254</f>
        <v>19.855714285714289</v>
      </c>
      <c r="H254" s="37" t="s">
        <v>1218</v>
      </c>
      <c r="I254" s="26" t="s">
        <v>1219</v>
      </c>
      <c r="J254" s="26" t="s">
        <v>1220</v>
      </c>
      <c r="K254" s="26" t="s">
        <v>1221</v>
      </c>
      <c r="L254" s="39" t="s">
        <v>22</v>
      </c>
      <c r="M254" s="8">
        <f>COUNTIF($B$1:$B$1191, B254)</f>
        <v>1</v>
      </c>
      <c r="N254" s="8">
        <f>COUNTIF($H$2:$H$1181, H254)</f>
        <v>17</v>
      </c>
    </row>
    <row r="255" spans="1:14">
      <c r="A255" s="29" t="s">
        <v>1222</v>
      </c>
      <c r="B255" s="30" t="s">
        <v>379</v>
      </c>
      <c r="C255" s="30" t="s">
        <v>379</v>
      </c>
      <c r="D255" s="31">
        <v>116.75</v>
      </c>
      <c r="E255" s="31">
        <v>116.75</v>
      </c>
      <c r="F255" s="30">
        <v>2</v>
      </c>
      <c r="G255" s="34">
        <f>E255/F255</f>
        <v>58.375</v>
      </c>
      <c r="H255" s="36" t="s">
        <v>1218</v>
      </c>
      <c r="I255" s="30" t="s">
        <v>1223</v>
      </c>
      <c r="J255" s="30" t="s">
        <v>1224</v>
      </c>
      <c r="K255" s="30" t="s">
        <v>1225</v>
      </c>
      <c r="L255" s="38" t="s">
        <v>22</v>
      </c>
      <c r="M255" s="8">
        <f>COUNTIF($B$1:$B$1191, B255)</f>
        <v>19</v>
      </c>
      <c r="N255" s="8">
        <f>COUNTIF($H$2:$H$1181, H255)</f>
        <v>17</v>
      </c>
    </row>
    <row r="256" spans="1:14">
      <c r="A256" s="32" t="s">
        <v>1226</v>
      </c>
      <c r="B256" s="26" t="s">
        <v>1227</v>
      </c>
      <c r="C256" s="26" t="s">
        <v>1228</v>
      </c>
      <c r="D256" s="33">
        <v>55.6</v>
      </c>
      <c r="E256" s="33">
        <v>83.39</v>
      </c>
      <c r="F256" s="26">
        <v>2</v>
      </c>
      <c r="G256" s="35">
        <f>E256/F256</f>
        <v>41.695</v>
      </c>
      <c r="H256" s="37" t="s">
        <v>1218</v>
      </c>
      <c r="I256" s="26" t="s">
        <v>1229</v>
      </c>
      <c r="J256" s="26" t="s">
        <v>1230</v>
      </c>
      <c r="K256" s="26" t="s">
        <v>1231</v>
      </c>
      <c r="L256" s="39" t="s">
        <v>22</v>
      </c>
      <c r="M256" s="8">
        <f>COUNTIF($B$1:$B$1191, B256)</f>
        <v>5</v>
      </c>
      <c r="N256" s="8">
        <f>COUNTIF($H$2:$H$1181, H256)</f>
        <v>17</v>
      </c>
    </row>
    <row r="257" spans="1:14">
      <c r="A257" s="29" t="s">
        <v>1232</v>
      </c>
      <c r="B257" s="30" t="s">
        <v>1233</v>
      </c>
      <c r="C257" s="30" t="s">
        <v>1234</v>
      </c>
      <c r="D257" s="31">
        <v>127.87</v>
      </c>
      <c r="E257" s="31">
        <v>127.87</v>
      </c>
      <c r="F257" s="30">
        <v>1</v>
      </c>
      <c r="G257" s="34">
        <f>E257/F257</f>
        <v>127.87</v>
      </c>
      <c r="H257" s="36" t="s">
        <v>1218</v>
      </c>
      <c r="I257" s="30" t="s">
        <v>1235</v>
      </c>
      <c r="J257" s="30" t="s">
        <v>1236</v>
      </c>
      <c r="K257" s="30" t="s">
        <v>1237</v>
      </c>
      <c r="L257" s="38" t="s">
        <v>22</v>
      </c>
      <c r="M257" s="8">
        <f>COUNTIF($B$1:$B$1191, B257)</f>
        <v>1</v>
      </c>
      <c r="N257" s="8">
        <f>COUNTIF($H$2:$H$1181, H257)</f>
        <v>17</v>
      </c>
    </row>
    <row r="258" spans="1:14">
      <c r="A258" s="32" t="s">
        <v>1238</v>
      </c>
      <c r="B258" s="26" t="s">
        <v>1128</v>
      </c>
      <c r="C258" s="26" t="s">
        <v>1129</v>
      </c>
      <c r="D258" s="33">
        <v>50.04</v>
      </c>
      <c r="E258" s="33">
        <v>50.04</v>
      </c>
      <c r="F258" s="26">
        <v>1</v>
      </c>
      <c r="G258" s="35">
        <f>E258/F258</f>
        <v>50.04</v>
      </c>
      <c r="H258" s="37" t="s">
        <v>1218</v>
      </c>
      <c r="I258" s="26" t="s">
        <v>1239</v>
      </c>
      <c r="J258" s="26" t="s">
        <v>1240</v>
      </c>
      <c r="K258" s="26" t="s">
        <v>1132</v>
      </c>
      <c r="L258" s="39" t="s">
        <v>22</v>
      </c>
      <c r="M258" s="8">
        <f>COUNTIF($B$1:$B$1191, B258)</f>
        <v>2</v>
      </c>
      <c r="N258" s="8">
        <f>COUNTIF($H$2:$H$1181, H258)</f>
        <v>17</v>
      </c>
    </row>
    <row r="259" spans="1:14">
      <c r="A259" s="29" t="s">
        <v>1241</v>
      </c>
      <c r="B259" s="30" t="s">
        <v>88</v>
      </c>
      <c r="C259" s="30" t="s">
        <v>89</v>
      </c>
      <c r="D259" s="31">
        <v>116.75</v>
      </c>
      <c r="E259" s="31">
        <v>116.75</v>
      </c>
      <c r="F259" s="30">
        <v>1</v>
      </c>
      <c r="G259" s="34">
        <f>E259/F259</f>
        <v>116.75</v>
      </c>
      <c r="H259" s="36" t="s">
        <v>1218</v>
      </c>
      <c r="I259" s="30" t="s">
        <v>1242</v>
      </c>
      <c r="J259" s="30" t="s">
        <v>1243</v>
      </c>
      <c r="K259" s="30" t="s">
        <v>1244</v>
      </c>
      <c r="L259" s="38" t="s">
        <v>22</v>
      </c>
      <c r="M259" s="8">
        <f>COUNTIF($B$1:$B$1191, B259)</f>
        <v>4</v>
      </c>
      <c r="N259" s="8">
        <f>COUNTIF($H$2:$H$1181, H259)</f>
        <v>17</v>
      </c>
    </row>
    <row r="260" spans="1:14">
      <c r="A260" s="32" t="s">
        <v>1245</v>
      </c>
      <c r="B260" s="26" t="s">
        <v>1178</v>
      </c>
      <c r="C260" s="26" t="s">
        <v>1179</v>
      </c>
      <c r="D260" s="33">
        <v>105.63</v>
      </c>
      <c r="E260" s="33">
        <v>105.63</v>
      </c>
      <c r="F260" s="26">
        <v>1</v>
      </c>
      <c r="G260" s="35">
        <f>E260/F260</f>
        <v>105.63</v>
      </c>
      <c r="H260" s="37" t="s">
        <v>1218</v>
      </c>
      <c r="I260" s="26" t="s">
        <v>1246</v>
      </c>
      <c r="J260" s="26" t="s">
        <v>1247</v>
      </c>
      <c r="K260" s="26" t="s">
        <v>1248</v>
      </c>
      <c r="L260" s="39" t="s">
        <v>22</v>
      </c>
      <c r="M260" s="8">
        <f>COUNTIF($B$1:$B$1191, B260)</f>
        <v>4</v>
      </c>
      <c r="N260" s="8">
        <f>COUNTIF($H$2:$H$1181, H260)</f>
        <v>17</v>
      </c>
    </row>
    <row r="261" spans="1:14">
      <c r="A261" s="29" t="s">
        <v>1249</v>
      </c>
      <c r="B261" s="30" t="s">
        <v>1053</v>
      </c>
      <c r="C261" s="30" t="s">
        <v>506</v>
      </c>
      <c r="D261" s="31">
        <v>138.99</v>
      </c>
      <c r="E261" s="31">
        <v>138.99</v>
      </c>
      <c r="F261" s="30">
        <v>1</v>
      </c>
      <c r="G261" s="34">
        <f>E261/F261</f>
        <v>138.99</v>
      </c>
      <c r="H261" s="36" t="s">
        <v>1218</v>
      </c>
      <c r="I261" s="30" t="s">
        <v>1250</v>
      </c>
      <c r="J261" s="30" t="s">
        <v>1251</v>
      </c>
      <c r="K261" s="30" t="s">
        <v>1252</v>
      </c>
      <c r="L261" s="38" t="s">
        <v>22</v>
      </c>
      <c r="M261" s="8">
        <f>COUNTIF($B$1:$B$1191, B261)</f>
        <v>20</v>
      </c>
      <c r="N261" s="8">
        <f>COUNTIF($H$2:$H$1181, H261)</f>
        <v>17</v>
      </c>
    </row>
    <row r="262" spans="1:14">
      <c r="A262" s="32" t="s">
        <v>1253</v>
      </c>
      <c r="B262" s="26" t="s">
        <v>1254</v>
      </c>
      <c r="C262" s="26" t="s">
        <v>1255</v>
      </c>
      <c r="D262" s="33">
        <v>233.5</v>
      </c>
      <c r="E262" s="33">
        <v>233.5</v>
      </c>
      <c r="F262" s="26">
        <v>1</v>
      </c>
      <c r="G262" s="35">
        <f>E262/F262</f>
        <v>233.5</v>
      </c>
      <c r="H262" s="37" t="s">
        <v>1218</v>
      </c>
      <c r="I262" s="26" t="s">
        <v>1256</v>
      </c>
      <c r="J262" s="26" t="s">
        <v>1257</v>
      </c>
      <c r="K262" s="26" t="s">
        <v>1258</v>
      </c>
      <c r="L262" s="39" t="s">
        <v>22</v>
      </c>
      <c r="M262" s="8">
        <f>COUNTIF($B$1:$B$1191, B262)</f>
        <v>1</v>
      </c>
      <c r="N262" s="8">
        <f>COUNTIF($H$2:$H$1181, H262)</f>
        <v>17</v>
      </c>
    </row>
    <row r="263" spans="1:14">
      <c r="A263" s="29" t="s">
        <v>1259</v>
      </c>
      <c r="B263" s="30" t="s">
        <v>915</v>
      </c>
      <c r="C263" s="30" t="s">
        <v>916</v>
      </c>
      <c r="D263" s="31">
        <v>94.51</v>
      </c>
      <c r="E263" s="31">
        <v>116.75</v>
      </c>
      <c r="F263" s="30">
        <v>2</v>
      </c>
      <c r="G263" s="34">
        <f>E263/F263</f>
        <v>58.375</v>
      </c>
      <c r="H263" s="36" t="s">
        <v>1218</v>
      </c>
      <c r="I263" s="30" t="s">
        <v>1260</v>
      </c>
      <c r="J263" s="30" t="s">
        <v>1261</v>
      </c>
      <c r="K263" s="30" t="s">
        <v>1262</v>
      </c>
      <c r="L263" s="38" t="s">
        <v>22</v>
      </c>
      <c r="M263" s="8">
        <f>COUNTIF($B$1:$B$1191, B263)</f>
        <v>7</v>
      </c>
      <c r="N263" s="8">
        <f>COUNTIF($H$2:$H$1181, H263)</f>
        <v>17</v>
      </c>
    </row>
    <row r="264" spans="1:14">
      <c r="A264" s="32" t="s">
        <v>1263</v>
      </c>
      <c r="B264" s="26" t="s">
        <v>270</v>
      </c>
      <c r="C264" s="26" t="s">
        <v>271</v>
      </c>
      <c r="D264" s="33">
        <v>439.21</v>
      </c>
      <c r="E264" s="33">
        <v>494.8</v>
      </c>
      <c r="F264" s="26">
        <v>9</v>
      </c>
      <c r="G264" s="35">
        <f>E264/F264</f>
        <v>54.977777777777781</v>
      </c>
      <c r="H264" s="37" t="s">
        <v>1218</v>
      </c>
      <c r="I264" s="26" t="s">
        <v>1264</v>
      </c>
      <c r="J264" s="26" t="s">
        <v>1265</v>
      </c>
      <c r="K264" s="26" t="s">
        <v>1266</v>
      </c>
      <c r="L264" s="39" t="s">
        <v>22</v>
      </c>
      <c r="M264" s="8">
        <f>COUNTIF($B$1:$B$1191, B264)</f>
        <v>5</v>
      </c>
      <c r="N264" s="8">
        <f>COUNTIF($H$2:$H$1181, H264)</f>
        <v>17</v>
      </c>
    </row>
    <row r="265" spans="1:14">
      <c r="A265" s="29" t="s">
        <v>1267</v>
      </c>
      <c r="B265" s="30" t="s">
        <v>1268</v>
      </c>
      <c r="C265" s="30" t="s">
        <v>1269</v>
      </c>
      <c r="D265" s="31">
        <v>161.22999999999999</v>
      </c>
      <c r="E265" s="31">
        <v>216.82</v>
      </c>
      <c r="F265" s="30">
        <v>6</v>
      </c>
      <c r="G265" s="34">
        <f>E265/F265</f>
        <v>36.136666666666663</v>
      </c>
      <c r="H265" s="36" t="s">
        <v>1218</v>
      </c>
      <c r="I265" s="30" t="s">
        <v>1270</v>
      </c>
      <c r="J265" s="30" t="s">
        <v>1271</v>
      </c>
      <c r="K265" s="30" t="s">
        <v>1272</v>
      </c>
      <c r="L265" s="38" t="s">
        <v>22</v>
      </c>
      <c r="M265" s="8">
        <f>COUNTIF($B$1:$B$1191, B265)</f>
        <v>5</v>
      </c>
      <c r="N265" s="8">
        <f>COUNTIF($H$2:$H$1181, H265)</f>
        <v>17</v>
      </c>
    </row>
    <row r="266" spans="1:14">
      <c r="A266" s="32" t="s">
        <v>1273</v>
      </c>
      <c r="B266" s="26" t="s">
        <v>1274</v>
      </c>
      <c r="C266" s="26" t="s">
        <v>1275</v>
      </c>
      <c r="D266" s="33">
        <v>161.22999999999999</v>
      </c>
      <c r="E266" s="33">
        <v>667.15</v>
      </c>
      <c r="F266" s="26">
        <v>21</v>
      </c>
      <c r="G266" s="35">
        <f>E266/F266</f>
        <v>31.769047619047619</v>
      </c>
      <c r="H266" s="37" t="s">
        <v>1218</v>
      </c>
      <c r="I266" s="26" t="s">
        <v>1276</v>
      </c>
      <c r="J266" s="26" t="s">
        <v>1277</v>
      </c>
      <c r="K266" s="26" t="s">
        <v>1278</v>
      </c>
      <c r="L266" s="39" t="s">
        <v>22</v>
      </c>
      <c r="M266" s="8">
        <f>COUNTIF($B$1:$B$1191, B266)</f>
        <v>1</v>
      </c>
      <c r="N266" s="8">
        <f>COUNTIF($H$2:$H$1181, H266)</f>
        <v>17</v>
      </c>
    </row>
    <row r="267" spans="1:14">
      <c r="A267" s="29" t="s">
        <v>1279</v>
      </c>
      <c r="B267" s="30" t="s">
        <v>1280</v>
      </c>
      <c r="C267" s="30" t="s">
        <v>1281</v>
      </c>
      <c r="D267" s="31">
        <v>122.31</v>
      </c>
      <c r="E267" s="31">
        <v>333.58</v>
      </c>
      <c r="F267" s="30">
        <v>4</v>
      </c>
      <c r="G267" s="34">
        <f>E267/F267</f>
        <v>83.394999999999996</v>
      </c>
      <c r="H267" s="36" t="s">
        <v>1218</v>
      </c>
      <c r="I267" s="30" t="s">
        <v>1282</v>
      </c>
      <c r="J267" s="30" t="s">
        <v>1283</v>
      </c>
      <c r="K267" s="30" t="s">
        <v>1284</v>
      </c>
      <c r="L267" s="38" t="s">
        <v>22</v>
      </c>
      <c r="M267" s="8">
        <f>COUNTIF($B$1:$B$1191, B267)</f>
        <v>3</v>
      </c>
      <c r="N267" s="8">
        <f>COUNTIF($H$2:$H$1181, H267)</f>
        <v>17</v>
      </c>
    </row>
    <row r="268" spans="1:14">
      <c r="A268" s="32" t="s">
        <v>1285</v>
      </c>
      <c r="B268" s="26" t="s">
        <v>1280</v>
      </c>
      <c r="C268" s="26" t="s">
        <v>1281</v>
      </c>
      <c r="D268" s="33">
        <v>122.31</v>
      </c>
      <c r="E268" s="33">
        <v>333.58</v>
      </c>
      <c r="F268" s="26">
        <v>4</v>
      </c>
      <c r="G268" s="35">
        <f>E268/F268</f>
        <v>83.394999999999996</v>
      </c>
      <c r="H268" s="37" t="s">
        <v>1218</v>
      </c>
      <c r="I268" s="26" t="s">
        <v>1286</v>
      </c>
      <c r="J268" s="26" t="s">
        <v>1287</v>
      </c>
      <c r="K268" s="26" t="s">
        <v>1288</v>
      </c>
      <c r="L268" s="39" t="s">
        <v>22</v>
      </c>
      <c r="M268" s="8">
        <f>COUNTIF($B$1:$B$1191, B268)</f>
        <v>3</v>
      </c>
      <c r="N268" s="8">
        <f>COUNTIF($H$2:$H$1181, H268)</f>
        <v>17</v>
      </c>
    </row>
    <row r="269" spans="1:14">
      <c r="A269" s="29" t="s">
        <v>1289</v>
      </c>
      <c r="B269" s="30" t="s">
        <v>94</v>
      </c>
      <c r="C269" s="30" t="s">
        <v>95</v>
      </c>
      <c r="D269" s="31">
        <v>116.75</v>
      </c>
      <c r="E269" s="31">
        <v>116.75</v>
      </c>
      <c r="F269" s="30">
        <v>1</v>
      </c>
      <c r="G269" s="34">
        <f>E269/F269</f>
        <v>116.75</v>
      </c>
      <c r="H269" s="36" t="s">
        <v>1218</v>
      </c>
      <c r="I269" s="30" t="s">
        <v>1290</v>
      </c>
      <c r="J269" s="30" t="s">
        <v>1291</v>
      </c>
      <c r="K269" s="30" t="s">
        <v>1292</v>
      </c>
      <c r="L269" s="38" t="s">
        <v>22</v>
      </c>
      <c r="M269" s="8">
        <f>COUNTIF($B$1:$B$1191, B269)</f>
        <v>4</v>
      </c>
      <c r="N269" s="8">
        <f>COUNTIF($H$2:$H$1181, H269)</f>
        <v>17</v>
      </c>
    </row>
    <row r="270" spans="1:14">
      <c r="A270" s="52" t="s">
        <v>1293</v>
      </c>
      <c r="B270" s="53" t="s">
        <v>379</v>
      </c>
      <c r="C270" s="53" t="s">
        <v>379</v>
      </c>
      <c r="D270" s="54">
        <v>116.75</v>
      </c>
      <c r="E270" s="54">
        <v>116.75</v>
      </c>
      <c r="F270" s="53">
        <v>6</v>
      </c>
      <c r="G270" s="55">
        <f>E270/F270</f>
        <v>19.458333333333332</v>
      </c>
      <c r="H270" s="56" t="s">
        <v>1218</v>
      </c>
      <c r="I270" s="53" t="s">
        <v>1294</v>
      </c>
      <c r="J270" s="53" t="s">
        <v>1295</v>
      </c>
      <c r="K270" s="53" t="s">
        <v>1296</v>
      </c>
      <c r="L270" s="57" t="s">
        <v>22</v>
      </c>
      <c r="M270" s="8">
        <f>COUNTIF($B$1:$B$1191, B270)</f>
        <v>19</v>
      </c>
      <c r="N270" s="8">
        <f>COUNTIF($H$2:$H$1181, H270)</f>
        <v>17</v>
      </c>
    </row>
    <row r="271" spans="1:14">
      <c r="A271" s="52" t="s">
        <v>1297</v>
      </c>
      <c r="B271" s="53" t="s">
        <v>438</v>
      </c>
      <c r="C271" s="53" t="s">
        <v>439</v>
      </c>
      <c r="D271" s="54">
        <v>87.88</v>
      </c>
      <c r="E271" s="54">
        <v>98.86</v>
      </c>
      <c r="F271" s="53">
        <v>2</v>
      </c>
      <c r="G271" s="55">
        <f>E271/F271</f>
        <v>49.43</v>
      </c>
      <c r="H271" s="56" t="s">
        <v>1298</v>
      </c>
      <c r="I271" s="53" t="s">
        <v>1299</v>
      </c>
      <c r="J271" s="53" t="s">
        <v>1300</v>
      </c>
      <c r="K271" s="53" t="s">
        <v>1301</v>
      </c>
      <c r="L271" s="57" t="s">
        <v>22</v>
      </c>
      <c r="M271" s="8">
        <f>COUNTIF($B$1:$B$1191, B271)</f>
        <v>14</v>
      </c>
      <c r="N271" s="8">
        <f>COUNTIF($H$2:$H$1181, H271)</f>
        <v>16</v>
      </c>
    </row>
    <row r="272" spans="1:14">
      <c r="A272" s="52" t="s">
        <v>1302</v>
      </c>
      <c r="B272" s="53" t="s">
        <v>1303</v>
      </c>
      <c r="C272" s="53" t="s">
        <v>1304</v>
      </c>
      <c r="D272" s="54">
        <v>137.25</v>
      </c>
      <c r="E272" s="54">
        <v>659.01</v>
      </c>
      <c r="F272" s="53">
        <v>10</v>
      </c>
      <c r="G272" s="55">
        <f>E272/F272</f>
        <v>65.900999999999996</v>
      </c>
      <c r="H272" s="56" t="s">
        <v>1298</v>
      </c>
      <c r="I272" s="53" t="s">
        <v>1305</v>
      </c>
      <c r="J272" s="53" t="s">
        <v>1306</v>
      </c>
      <c r="K272" s="53" t="s">
        <v>1307</v>
      </c>
      <c r="L272" s="57" t="s">
        <v>22</v>
      </c>
      <c r="M272" s="8">
        <f>COUNTIF($B$1:$B$1191, B272)</f>
        <v>1</v>
      </c>
      <c r="N272" s="8">
        <f>COUNTIF($H$2:$H$1181, H272)</f>
        <v>16</v>
      </c>
    </row>
    <row r="273" spans="1:14">
      <c r="A273" s="52" t="s">
        <v>1308</v>
      </c>
      <c r="B273" s="53" t="s">
        <v>1309</v>
      </c>
      <c r="C273" s="53" t="s">
        <v>1310</v>
      </c>
      <c r="D273" s="54">
        <v>82.38</v>
      </c>
      <c r="E273" s="54">
        <v>148.29</v>
      </c>
      <c r="F273" s="53">
        <v>2</v>
      </c>
      <c r="G273" s="55">
        <f>E273/F273</f>
        <v>74.144999999999996</v>
      </c>
      <c r="H273" s="56" t="s">
        <v>1298</v>
      </c>
      <c r="I273" s="53" t="s">
        <v>1311</v>
      </c>
      <c r="J273" s="53" t="s">
        <v>1312</v>
      </c>
      <c r="K273" s="53" t="s">
        <v>1313</v>
      </c>
      <c r="L273" s="57" t="s">
        <v>22</v>
      </c>
      <c r="M273" s="8">
        <f>COUNTIF($B$1:$B$1191, B273)</f>
        <v>1</v>
      </c>
      <c r="N273" s="8">
        <f>COUNTIF($H$2:$H$1181, H273)</f>
        <v>16</v>
      </c>
    </row>
    <row r="274" spans="1:14">
      <c r="A274" s="52" t="s">
        <v>1314</v>
      </c>
      <c r="B274" s="53" t="s">
        <v>1315</v>
      </c>
      <c r="C274" s="53" t="s">
        <v>1316</v>
      </c>
      <c r="D274" s="54">
        <v>247.15</v>
      </c>
      <c r="E274" s="54">
        <v>2471.5100000000002</v>
      </c>
      <c r="F274" s="53">
        <v>18</v>
      </c>
      <c r="G274" s="55">
        <f>E274/F274</f>
        <v>137.30611111111114</v>
      </c>
      <c r="H274" s="56" t="s">
        <v>1298</v>
      </c>
      <c r="I274" s="53" t="s">
        <v>1317</v>
      </c>
      <c r="J274" s="53" t="s">
        <v>1318</v>
      </c>
      <c r="K274" s="53" t="s">
        <v>1319</v>
      </c>
      <c r="L274" s="57" t="s">
        <v>153</v>
      </c>
      <c r="M274" s="8">
        <f>COUNTIF($B$1:$B$1191, B274)</f>
        <v>1</v>
      </c>
      <c r="N274" s="8">
        <f>COUNTIF($H$2:$H$1181, H274)</f>
        <v>16</v>
      </c>
    </row>
    <row r="275" spans="1:14">
      <c r="A275" s="52" t="s">
        <v>1320</v>
      </c>
      <c r="B275" s="53" t="s">
        <v>49</v>
      </c>
      <c r="C275" s="53" t="s">
        <v>50</v>
      </c>
      <c r="D275" s="54">
        <v>104.35</v>
      </c>
      <c r="E275" s="54">
        <v>126.32</v>
      </c>
      <c r="F275" s="53">
        <v>2</v>
      </c>
      <c r="G275" s="55">
        <f>E275/F275</f>
        <v>63.16</v>
      </c>
      <c r="H275" s="56" t="s">
        <v>1298</v>
      </c>
      <c r="I275" s="53" t="s">
        <v>1321</v>
      </c>
      <c r="J275" s="53" t="s">
        <v>1322</v>
      </c>
      <c r="K275" s="53" t="s">
        <v>1323</v>
      </c>
      <c r="L275" s="57" t="s">
        <v>22</v>
      </c>
      <c r="M275" s="8">
        <f>COUNTIF($B$1:$B$1191, B275)</f>
        <v>15</v>
      </c>
      <c r="N275" s="8">
        <f>COUNTIF($H$2:$H$1181, H275)</f>
        <v>16</v>
      </c>
    </row>
    <row r="276" spans="1:14">
      <c r="A276" s="52" t="s">
        <v>1324</v>
      </c>
      <c r="B276" s="53" t="s">
        <v>1017</v>
      </c>
      <c r="C276" s="53" t="s">
        <v>1017</v>
      </c>
      <c r="D276" s="54">
        <v>49.43</v>
      </c>
      <c r="E276" s="54">
        <v>82.38</v>
      </c>
      <c r="F276" s="53">
        <v>2</v>
      </c>
      <c r="G276" s="55">
        <f>E276/F276</f>
        <v>41.19</v>
      </c>
      <c r="H276" s="56" t="s">
        <v>1298</v>
      </c>
      <c r="I276" s="53" t="s">
        <v>1325</v>
      </c>
      <c r="J276" s="53" t="s">
        <v>1326</v>
      </c>
      <c r="K276" s="53" t="s">
        <v>1327</v>
      </c>
      <c r="L276" s="57" t="s">
        <v>22</v>
      </c>
      <c r="M276" s="8">
        <f>COUNTIF($B$1:$B$1191, B276)</f>
        <v>3</v>
      </c>
      <c r="N276" s="8">
        <f>COUNTIF($H$2:$H$1181, H276)</f>
        <v>16</v>
      </c>
    </row>
    <row r="277" spans="1:14">
      <c r="A277" s="52" t="s">
        <v>1328</v>
      </c>
      <c r="B277" s="53" t="s">
        <v>1329</v>
      </c>
      <c r="C277" s="53" t="s">
        <v>1330</v>
      </c>
      <c r="D277" s="54">
        <v>109.84</v>
      </c>
      <c r="E277" s="54">
        <v>137.31</v>
      </c>
      <c r="F277" s="53">
        <v>2</v>
      </c>
      <c r="G277" s="55">
        <f>E277/F277</f>
        <v>68.655000000000001</v>
      </c>
      <c r="H277" s="56" t="s">
        <v>1298</v>
      </c>
      <c r="I277" s="53" t="s">
        <v>1331</v>
      </c>
      <c r="J277" s="53" t="s">
        <v>1332</v>
      </c>
      <c r="K277" s="53" t="s">
        <v>1333</v>
      </c>
      <c r="L277" s="57" t="s">
        <v>22</v>
      </c>
      <c r="M277" s="8">
        <f>COUNTIF($B$1:$B$1191, B277)</f>
        <v>4</v>
      </c>
      <c r="N277" s="8">
        <f>COUNTIF($H$2:$H$1181, H277)</f>
        <v>16</v>
      </c>
    </row>
    <row r="278" spans="1:14">
      <c r="A278" s="52" t="s">
        <v>1334</v>
      </c>
      <c r="B278" s="53" t="s">
        <v>222</v>
      </c>
      <c r="C278" s="53" t="s">
        <v>223</v>
      </c>
      <c r="D278" s="54">
        <v>131.81</v>
      </c>
      <c r="E278" s="54">
        <v>131.81</v>
      </c>
      <c r="F278" s="53">
        <v>2</v>
      </c>
      <c r="G278" s="55">
        <f>E278/F278</f>
        <v>65.905000000000001</v>
      </c>
      <c r="H278" s="56" t="s">
        <v>1298</v>
      </c>
      <c r="I278" s="53" t="s">
        <v>1335</v>
      </c>
      <c r="J278" s="53" t="s">
        <v>1336</v>
      </c>
      <c r="K278" s="53" t="s">
        <v>1337</v>
      </c>
      <c r="L278" s="57" t="s">
        <v>22</v>
      </c>
      <c r="M278" s="8">
        <f>COUNTIF($B$1:$B$1191, B278)</f>
        <v>11</v>
      </c>
      <c r="N278" s="8">
        <f>COUNTIF($H$2:$H$1181, H278)</f>
        <v>16</v>
      </c>
    </row>
    <row r="279" spans="1:14">
      <c r="A279" s="52" t="s">
        <v>1338</v>
      </c>
      <c r="B279" s="53" t="s">
        <v>1339</v>
      </c>
      <c r="C279" s="53" t="s">
        <v>1340</v>
      </c>
      <c r="D279" s="54">
        <v>82.38</v>
      </c>
      <c r="E279" s="54">
        <v>98.86</v>
      </c>
      <c r="F279" s="53">
        <v>2</v>
      </c>
      <c r="G279" s="55">
        <f>E279/F279</f>
        <v>49.43</v>
      </c>
      <c r="H279" s="56" t="s">
        <v>1298</v>
      </c>
      <c r="I279" s="53" t="s">
        <v>1341</v>
      </c>
      <c r="J279" s="53" t="s">
        <v>1342</v>
      </c>
      <c r="K279" s="53" t="s">
        <v>1343</v>
      </c>
      <c r="L279" s="57" t="s">
        <v>22</v>
      </c>
      <c r="M279" s="8">
        <f>COUNTIF($B$1:$B$1191, B279)</f>
        <v>2</v>
      </c>
      <c r="N279" s="8">
        <f>COUNTIF($H$2:$H$1181, H279)</f>
        <v>16</v>
      </c>
    </row>
    <row r="280" spans="1:14">
      <c r="A280" s="52" t="s">
        <v>1344</v>
      </c>
      <c r="B280" s="53" t="s">
        <v>971</v>
      </c>
      <c r="C280" s="53" t="s">
        <v>972</v>
      </c>
      <c r="D280" s="54">
        <v>54.92</v>
      </c>
      <c r="E280" s="54">
        <v>82.38</v>
      </c>
      <c r="F280" s="53">
        <v>2</v>
      </c>
      <c r="G280" s="55">
        <f>E280/F280</f>
        <v>41.19</v>
      </c>
      <c r="H280" s="56" t="s">
        <v>1298</v>
      </c>
      <c r="I280" s="53" t="s">
        <v>1345</v>
      </c>
      <c r="J280" s="53" t="s">
        <v>1346</v>
      </c>
      <c r="K280" s="53" t="s">
        <v>1347</v>
      </c>
      <c r="L280" s="57" t="s">
        <v>22</v>
      </c>
      <c r="M280" s="8">
        <f>COUNTIF($B$1:$B$1191, B280)</f>
        <v>6</v>
      </c>
      <c r="N280" s="8">
        <f>COUNTIF($H$2:$H$1181, H280)</f>
        <v>16</v>
      </c>
    </row>
    <row r="281" spans="1:14">
      <c r="A281" s="52" t="s">
        <v>1348</v>
      </c>
      <c r="B281" s="53" t="s">
        <v>971</v>
      </c>
      <c r="C281" s="53" t="s">
        <v>972</v>
      </c>
      <c r="D281" s="54">
        <v>54.92</v>
      </c>
      <c r="E281" s="54">
        <v>82.38</v>
      </c>
      <c r="F281" s="53">
        <v>2</v>
      </c>
      <c r="G281" s="55">
        <f>E281/F281</f>
        <v>41.19</v>
      </c>
      <c r="H281" s="56" t="s">
        <v>1298</v>
      </c>
      <c r="I281" s="53" t="s">
        <v>1349</v>
      </c>
      <c r="J281" s="53" t="s">
        <v>1350</v>
      </c>
      <c r="K281" s="53" t="s">
        <v>1351</v>
      </c>
      <c r="L281" s="57" t="s">
        <v>22</v>
      </c>
      <c r="M281" s="8">
        <f>COUNTIF($B$1:$B$1191, B281)</f>
        <v>6</v>
      </c>
      <c r="N281" s="8">
        <f>COUNTIF($H$2:$H$1181, H281)</f>
        <v>16</v>
      </c>
    </row>
    <row r="282" spans="1:14">
      <c r="A282" s="52" t="s">
        <v>1352</v>
      </c>
      <c r="B282" s="53" t="s">
        <v>1353</v>
      </c>
      <c r="C282" s="53" t="s">
        <v>1354</v>
      </c>
      <c r="D282" s="54">
        <v>93.37</v>
      </c>
      <c r="E282" s="54">
        <v>159.28</v>
      </c>
      <c r="F282" s="53">
        <v>2</v>
      </c>
      <c r="G282" s="55">
        <f>E282/F282</f>
        <v>79.64</v>
      </c>
      <c r="H282" s="56" t="s">
        <v>1298</v>
      </c>
      <c r="I282" s="53" t="s">
        <v>1355</v>
      </c>
      <c r="J282" s="53" t="s">
        <v>1356</v>
      </c>
      <c r="K282" s="53" t="s">
        <v>1357</v>
      </c>
      <c r="L282" s="57" t="s">
        <v>22</v>
      </c>
      <c r="M282" s="8">
        <f>COUNTIF($B$1:$B$1191, B282)</f>
        <v>1</v>
      </c>
      <c r="N282" s="8">
        <f>COUNTIF($H$2:$H$1181, H282)</f>
        <v>16</v>
      </c>
    </row>
    <row r="283" spans="1:14">
      <c r="A283" s="52" t="s">
        <v>1358</v>
      </c>
      <c r="B283" s="53" t="s">
        <v>1116</v>
      </c>
      <c r="C283" s="53" t="s">
        <v>1117</v>
      </c>
      <c r="D283" s="54">
        <v>82.38</v>
      </c>
      <c r="E283" s="54">
        <v>159.28</v>
      </c>
      <c r="F283" s="53">
        <v>4</v>
      </c>
      <c r="G283" s="55">
        <f>E283/F283</f>
        <v>39.82</v>
      </c>
      <c r="H283" s="56" t="s">
        <v>1298</v>
      </c>
      <c r="I283" s="53" t="s">
        <v>1359</v>
      </c>
      <c r="J283" s="53" t="s">
        <v>1360</v>
      </c>
      <c r="K283" s="53" t="s">
        <v>1361</v>
      </c>
      <c r="L283" s="57" t="s">
        <v>22</v>
      </c>
      <c r="M283" s="8">
        <f>COUNTIF($B$1:$B$1191, B283)</f>
        <v>4</v>
      </c>
      <c r="N283" s="8">
        <f>COUNTIF($H$2:$H$1181, H283)</f>
        <v>16</v>
      </c>
    </row>
    <row r="284" spans="1:14">
      <c r="A284" s="52" t="s">
        <v>1362</v>
      </c>
      <c r="B284" s="53" t="s">
        <v>1339</v>
      </c>
      <c r="C284" s="53" t="s">
        <v>1340</v>
      </c>
      <c r="D284" s="54">
        <v>82.38</v>
      </c>
      <c r="E284" s="54">
        <v>93.37</v>
      </c>
      <c r="F284" s="53">
        <v>2</v>
      </c>
      <c r="G284" s="55">
        <f>E284/F284</f>
        <v>46.685000000000002</v>
      </c>
      <c r="H284" s="56" t="s">
        <v>1298</v>
      </c>
      <c r="I284" s="53" t="s">
        <v>1363</v>
      </c>
      <c r="J284" s="53" t="s">
        <v>1364</v>
      </c>
      <c r="K284" s="53" t="s">
        <v>1365</v>
      </c>
      <c r="L284" s="57" t="s">
        <v>22</v>
      </c>
      <c r="M284" s="8">
        <f>COUNTIF($B$1:$B$1191, B284)</f>
        <v>2</v>
      </c>
      <c r="N284" s="8">
        <f>COUNTIF($H$2:$H$1181, H284)</f>
        <v>16</v>
      </c>
    </row>
    <row r="285" spans="1:14">
      <c r="A285" s="52" t="s">
        <v>1366</v>
      </c>
      <c r="B285" s="53" t="s">
        <v>49</v>
      </c>
      <c r="C285" s="53" t="s">
        <v>50</v>
      </c>
      <c r="D285" s="54">
        <v>104.35</v>
      </c>
      <c r="E285" s="54">
        <v>126.32</v>
      </c>
      <c r="F285" s="53">
        <v>2</v>
      </c>
      <c r="G285" s="55">
        <f>E285/F285</f>
        <v>63.16</v>
      </c>
      <c r="H285" s="56" t="s">
        <v>1298</v>
      </c>
      <c r="I285" s="53" t="s">
        <v>1367</v>
      </c>
      <c r="J285" s="53" t="s">
        <v>1368</v>
      </c>
      <c r="K285" s="53" t="s">
        <v>1369</v>
      </c>
      <c r="L285" s="57" t="s">
        <v>22</v>
      </c>
      <c r="M285" s="8">
        <f>COUNTIF($B$1:$B$1191, B285)</f>
        <v>15</v>
      </c>
      <c r="N285" s="8">
        <f>COUNTIF($H$2:$H$1181, H285)</f>
        <v>16</v>
      </c>
    </row>
    <row r="286" spans="1:14">
      <c r="A286" s="52" t="s">
        <v>1370</v>
      </c>
      <c r="B286" s="53" t="s">
        <v>1371</v>
      </c>
      <c r="C286" s="53" t="s">
        <v>1371</v>
      </c>
      <c r="D286" s="54">
        <v>109.84</v>
      </c>
      <c r="E286" s="54">
        <v>109.84</v>
      </c>
      <c r="F286" s="53">
        <v>1</v>
      </c>
      <c r="G286" s="55">
        <f>E286/F286</f>
        <v>109.84</v>
      </c>
      <c r="H286" s="56" t="s">
        <v>1372</v>
      </c>
      <c r="I286" s="53" t="s">
        <v>1373</v>
      </c>
      <c r="J286" s="53" t="s">
        <v>1374</v>
      </c>
      <c r="K286" s="53" t="s">
        <v>1375</v>
      </c>
      <c r="L286" s="57" t="s">
        <v>22</v>
      </c>
      <c r="M286" s="8">
        <f>COUNTIF($B$1:$B$1191, B286)</f>
        <v>1</v>
      </c>
      <c r="N286" s="8">
        <f>COUNTIF($H$2:$H$1181, H286)</f>
        <v>66</v>
      </c>
    </row>
    <row r="287" spans="1:14">
      <c r="A287" s="52" t="s">
        <v>1376</v>
      </c>
      <c r="B287" s="53" t="s">
        <v>517</v>
      </c>
      <c r="C287" s="53" t="s">
        <v>518</v>
      </c>
      <c r="D287" s="54">
        <v>104.35</v>
      </c>
      <c r="E287" s="54">
        <v>203.21</v>
      </c>
      <c r="F287" s="53">
        <v>7</v>
      </c>
      <c r="G287" s="55">
        <f>E287/F287</f>
        <v>29.03</v>
      </c>
      <c r="H287" s="56" t="s">
        <v>1372</v>
      </c>
      <c r="I287" s="53" t="s">
        <v>1377</v>
      </c>
      <c r="J287" s="53" t="s">
        <v>1378</v>
      </c>
      <c r="K287" s="53" t="s">
        <v>1379</v>
      </c>
      <c r="L287" s="57" t="s">
        <v>22</v>
      </c>
      <c r="M287" s="8">
        <f>COUNTIF($B$1:$B$1191, B287)</f>
        <v>12</v>
      </c>
      <c r="N287" s="8">
        <f>COUNTIF($H$2:$H$1181, H287)</f>
        <v>66</v>
      </c>
    </row>
    <row r="288" spans="1:14">
      <c r="A288" s="52" t="s">
        <v>1380</v>
      </c>
      <c r="B288" s="53" t="s">
        <v>1381</v>
      </c>
      <c r="C288" s="53" t="s">
        <v>1382</v>
      </c>
      <c r="D288" s="54">
        <v>99.96</v>
      </c>
      <c r="E288" s="54">
        <v>120.83</v>
      </c>
      <c r="F288" s="53">
        <v>2</v>
      </c>
      <c r="G288" s="55">
        <f>E288/F288</f>
        <v>60.414999999999999</v>
      </c>
      <c r="H288" s="56" t="s">
        <v>1372</v>
      </c>
      <c r="I288" s="53" t="s">
        <v>1383</v>
      </c>
      <c r="J288" s="53" t="s">
        <v>1384</v>
      </c>
      <c r="K288" s="53" t="s">
        <v>1385</v>
      </c>
      <c r="L288" s="57" t="s">
        <v>22</v>
      </c>
      <c r="M288" s="8">
        <f>COUNTIF($B$1:$B$1191, B288)</f>
        <v>1</v>
      </c>
      <c r="N288" s="8">
        <f>COUNTIF($H$2:$H$1181, H288)</f>
        <v>66</v>
      </c>
    </row>
    <row r="289" spans="1:14">
      <c r="A289" s="52" t="s">
        <v>1386</v>
      </c>
      <c r="B289" s="53" t="s">
        <v>28</v>
      </c>
      <c r="C289" s="53" t="s">
        <v>29</v>
      </c>
      <c r="D289" s="54">
        <v>137.31</v>
      </c>
      <c r="E289" s="54">
        <v>137.31</v>
      </c>
      <c r="F289" s="53">
        <v>1</v>
      </c>
      <c r="G289" s="55">
        <f>E289/F289</f>
        <v>137.31</v>
      </c>
      <c r="H289" s="56" t="s">
        <v>1372</v>
      </c>
      <c r="I289" s="53" t="s">
        <v>1387</v>
      </c>
      <c r="J289" s="53" t="s">
        <v>1388</v>
      </c>
      <c r="K289" s="53" t="s">
        <v>1389</v>
      </c>
      <c r="L289" s="57" t="s">
        <v>22</v>
      </c>
      <c r="M289" s="8">
        <f>COUNTIF($B$1:$B$1191, B289)</f>
        <v>2</v>
      </c>
      <c r="N289" s="8">
        <f>COUNTIF($H$2:$H$1181, H289)</f>
        <v>66</v>
      </c>
    </row>
    <row r="290" spans="1:14">
      <c r="A290" s="52" t="s">
        <v>1390</v>
      </c>
      <c r="B290" s="53" t="s">
        <v>1391</v>
      </c>
      <c r="C290" s="53" t="s">
        <v>1392</v>
      </c>
      <c r="D290" s="54">
        <v>120.83</v>
      </c>
      <c r="E290" s="54">
        <v>120.83</v>
      </c>
      <c r="F290" s="53">
        <v>1</v>
      </c>
      <c r="G290" s="55">
        <f>E290/F290</f>
        <v>120.83</v>
      </c>
      <c r="H290" s="56" t="s">
        <v>1372</v>
      </c>
      <c r="I290" s="53" t="s">
        <v>1393</v>
      </c>
      <c r="J290" s="53" t="s">
        <v>1394</v>
      </c>
      <c r="K290" s="53" t="s">
        <v>1395</v>
      </c>
      <c r="L290" s="57" t="s">
        <v>22</v>
      </c>
      <c r="M290" s="8">
        <f>COUNTIF($B$1:$B$1191, B290)</f>
        <v>1</v>
      </c>
      <c r="N290" s="8">
        <f>COUNTIF($H$2:$H$1181, H290)</f>
        <v>66</v>
      </c>
    </row>
    <row r="291" spans="1:14">
      <c r="A291" s="52" t="s">
        <v>1396</v>
      </c>
      <c r="B291" s="53" t="s">
        <v>1053</v>
      </c>
      <c r="C291" s="53" t="s">
        <v>506</v>
      </c>
      <c r="D291" s="54">
        <v>137.31</v>
      </c>
      <c r="E291" s="54">
        <v>137.31</v>
      </c>
      <c r="F291" s="53">
        <v>1</v>
      </c>
      <c r="G291" s="55">
        <f>E291/F291</f>
        <v>137.31</v>
      </c>
      <c r="H291" s="56" t="s">
        <v>1372</v>
      </c>
      <c r="I291" s="53" t="s">
        <v>1397</v>
      </c>
      <c r="J291" s="53" t="s">
        <v>1398</v>
      </c>
      <c r="K291" s="53" t="s">
        <v>1399</v>
      </c>
      <c r="L291" s="57" t="s">
        <v>22</v>
      </c>
      <c r="M291" s="8">
        <f>COUNTIF($B$1:$B$1191, B291)</f>
        <v>20</v>
      </c>
      <c r="N291" s="8">
        <f>COUNTIF($H$2:$H$1181, H291)</f>
        <v>66</v>
      </c>
    </row>
    <row r="292" spans="1:14">
      <c r="A292" s="52" t="s">
        <v>1400</v>
      </c>
      <c r="B292" s="53" t="s">
        <v>753</v>
      </c>
      <c r="C292" s="53" t="s">
        <v>754</v>
      </c>
      <c r="D292" s="54">
        <v>76.89</v>
      </c>
      <c r="E292" s="54">
        <v>76.89</v>
      </c>
      <c r="F292" s="53">
        <v>1</v>
      </c>
      <c r="G292" s="55">
        <f>E292/F292</f>
        <v>76.89</v>
      </c>
      <c r="H292" s="56" t="s">
        <v>1372</v>
      </c>
      <c r="I292" s="53" t="s">
        <v>1401</v>
      </c>
      <c r="J292" s="53" t="s">
        <v>1402</v>
      </c>
      <c r="K292" s="53" t="s">
        <v>1403</v>
      </c>
      <c r="L292" s="57" t="s">
        <v>22</v>
      </c>
      <c r="M292" s="8">
        <f>COUNTIF($B$1:$B$1191, B292)</f>
        <v>24</v>
      </c>
      <c r="N292" s="8">
        <f>COUNTIF($H$2:$H$1181, H292)</f>
        <v>66</v>
      </c>
    </row>
    <row r="293" spans="1:14">
      <c r="A293" s="52" t="s">
        <v>1404</v>
      </c>
      <c r="B293" s="53" t="s">
        <v>1405</v>
      </c>
      <c r="C293" s="53" t="s">
        <v>1406</v>
      </c>
      <c r="D293" s="54">
        <v>126.32</v>
      </c>
      <c r="E293" s="54">
        <v>126.32</v>
      </c>
      <c r="F293" s="53">
        <v>1</v>
      </c>
      <c r="G293" s="55">
        <f>E293/F293</f>
        <v>126.32</v>
      </c>
      <c r="H293" s="56" t="s">
        <v>1372</v>
      </c>
      <c r="I293" s="53" t="s">
        <v>1407</v>
      </c>
      <c r="J293" s="53" t="s">
        <v>1408</v>
      </c>
      <c r="K293" s="53" t="s">
        <v>1409</v>
      </c>
      <c r="L293" s="57" t="s">
        <v>22</v>
      </c>
      <c r="M293" s="8">
        <f>COUNTIF($B$1:$B$1191, B293)</f>
        <v>2</v>
      </c>
      <c r="N293" s="8">
        <f>COUNTIF($H$2:$H$1181, H293)</f>
        <v>66</v>
      </c>
    </row>
    <row r="294" spans="1:14">
      <c r="A294" s="52" t="s">
        <v>1410</v>
      </c>
      <c r="B294" s="53" t="s">
        <v>1053</v>
      </c>
      <c r="C294" s="53" t="s">
        <v>506</v>
      </c>
      <c r="D294" s="54">
        <v>137.31</v>
      </c>
      <c r="E294" s="54">
        <v>137.31</v>
      </c>
      <c r="F294" s="53">
        <v>1</v>
      </c>
      <c r="G294" s="55">
        <f>E294/F294</f>
        <v>137.31</v>
      </c>
      <c r="H294" s="56" t="s">
        <v>1372</v>
      </c>
      <c r="I294" s="53" t="s">
        <v>1411</v>
      </c>
      <c r="J294" s="53" t="s">
        <v>1412</v>
      </c>
      <c r="K294" s="53" t="s">
        <v>1413</v>
      </c>
      <c r="L294" s="57" t="s">
        <v>22</v>
      </c>
      <c r="M294" s="8">
        <f>COUNTIF($B$1:$B$1191, B294)</f>
        <v>20</v>
      </c>
      <c r="N294" s="8">
        <f>COUNTIF($H$2:$H$1181, H294)</f>
        <v>66</v>
      </c>
    </row>
    <row r="295" spans="1:14">
      <c r="A295" s="52" t="s">
        <v>1414</v>
      </c>
      <c r="B295" s="53" t="s">
        <v>813</v>
      </c>
      <c r="C295" s="53" t="s">
        <v>814</v>
      </c>
      <c r="D295" s="54">
        <v>93.37</v>
      </c>
      <c r="E295" s="54">
        <v>93.37</v>
      </c>
      <c r="F295" s="53">
        <v>1</v>
      </c>
      <c r="G295" s="55">
        <f>E295/F295</f>
        <v>93.37</v>
      </c>
      <c r="H295" s="56" t="s">
        <v>1372</v>
      </c>
      <c r="I295" s="53" t="s">
        <v>1415</v>
      </c>
      <c r="J295" s="53" t="s">
        <v>1416</v>
      </c>
      <c r="K295" s="53" t="s">
        <v>1417</v>
      </c>
      <c r="L295" s="57" t="s">
        <v>22</v>
      </c>
      <c r="M295" s="8">
        <f>COUNTIF($B$1:$B$1191, B295)</f>
        <v>6</v>
      </c>
      <c r="N295" s="8">
        <f>COUNTIF($H$2:$H$1181, H295)</f>
        <v>66</v>
      </c>
    </row>
    <row r="296" spans="1:14">
      <c r="A296" s="52" t="s">
        <v>1418</v>
      </c>
      <c r="B296" s="53" t="s">
        <v>568</v>
      </c>
      <c r="C296" s="53" t="s">
        <v>569</v>
      </c>
      <c r="D296" s="54">
        <v>93.37</v>
      </c>
      <c r="E296" s="54">
        <v>93.37</v>
      </c>
      <c r="F296" s="53">
        <v>1</v>
      </c>
      <c r="G296" s="55">
        <f>E296/F296</f>
        <v>93.37</v>
      </c>
      <c r="H296" s="56" t="s">
        <v>1372</v>
      </c>
      <c r="I296" s="53" t="s">
        <v>1419</v>
      </c>
      <c r="J296" s="53" t="s">
        <v>1420</v>
      </c>
      <c r="K296" s="53" t="s">
        <v>1421</v>
      </c>
      <c r="L296" s="57" t="s">
        <v>22</v>
      </c>
      <c r="M296" s="8">
        <f>COUNTIF($B$1:$B$1191, B296)</f>
        <v>7</v>
      </c>
      <c r="N296" s="8">
        <f>COUNTIF($H$2:$H$1181, H296)</f>
        <v>66</v>
      </c>
    </row>
    <row r="297" spans="1:14">
      <c r="A297" s="52" t="s">
        <v>1422</v>
      </c>
      <c r="B297" s="53" t="s">
        <v>1423</v>
      </c>
      <c r="C297" s="53" t="s">
        <v>1424</v>
      </c>
      <c r="D297" s="54">
        <v>87.88</v>
      </c>
      <c r="E297" s="54">
        <v>87.88</v>
      </c>
      <c r="F297" s="53">
        <v>1</v>
      </c>
      <c r="G297" s="55">
        <f>E297/F297</f>
        <v>87.88</v>
      </c>
      <c r="H297" s="56" t="s">
        <v>1372</v>
      </c>
      <c r="I297" s="53" t="s">
        <v>1425</v>
      </c>
      <c r="J297" s="53" t="s">
        <v>1426</v>
      </c>
      <c r="K297" s="53" t="s">
        <v>1427</v>
      </c>
      <c r="L297" s="57" t="s">
        <v>22</v>
      </c>
      <c r="M297" s="8">
        <f>COUNTIF($B$1:$B$1191, B297)</f>
        <v>4</v>
      </c>
      <c r="N297" s="8">
        <f>COUNTIF($H$2:$H$1181, H297)</f>
        <v>66</v>
      </c>
    </row>
    <row r="298" spans="1:14">
      <c r="A298" s="52" t="s">
        <v>1428</v>
      </c>
      <c r="B298" s="53" t="s">
        <v>432</v>
      </c>
      <c r="C298" s="53" t="s">
        <v>433</v>
      </c>
      <c r="D298" s="54">
        <v>87.88</v>
      </c>
      <c r="E298" s="54">
        <v>87.88</v>
      </c>
      <c r="F298" s="53">
        <v>1</v>
      </c>
      <c r="G298" s="55">
        <f>E298/F298</f>
        <v>87.88</v>
      </c>
      <c r="H298" s="56" t="s">
        <v>1372</v>
      </c>
      <c r="I298" s="53" t="s">
        <v>1429</v>
      </c>
      <c r="J298" s="53" t="s">
        <v>1430</v>
      </c>
      <c r="K298" s="53" t="s">
        <v>1431</v>
      </c>
      <c r="L298" s="57" t="s">
        <v>22</v>
      </c>
      <c r="M298" s="8">
        <f>COUNTIF($B$1:$B$1191, B298)</f>
        <v>10</v>
      </c>
      <c r="N298" s="8">
        <f>COUNTIF($H$2:$H$1181, H298)</f>
        <v>66</v>
      </c>
    </row>
    <row r="299" spans="1:14">
      <c r="A299" s="52" t="s">
        <v>1432</v>
      </c>
      <c r="B299" s="53" t="s">
        <v>753</v>
      </c>
      <c r="C299" s="53" t="s">
        <v>754</v>
      </c>
      <c r="D299" s="54">
        <v>87.88</v>
      </c>
      <c r="E299" s="54">
        <v>87.88</v>
      </c>
      <c r="F299" s="53">
        <v>1</v>
      </c>
      <c r="G299" s="55">
        <f>E299/F299</f>
        <v>87.88</v>
      </c>
      <c r="H299" s="56" t="s">
        <v>1372</v>
      </c>
      <c r="I299" s="53" t="s">
        <v>1433</v>
      </c>
      <c r="J299" s="53" t="s">
        <v>1434</v>
      </c>
      <c r="K299" s="53" t="s">
        <v>1435</v>
      </c>
      <c r="L299" s="57" t="s">
        <v>22</v>
      </c>
      <c r="M299" s="8">
        <f>COUNTIF($B$1:$B$1191, B299)</f>
        <v>24</v>
      </c>
      <c r="N299" s="8">
        <f>COUNTIF($H$2:$H$1181, H299)</f>
        <v>66</v>
      </c>
    </row>
    <row r="300" spans="1:14">
      <c r="A300" s="52" t="s">
        <v>1436</v>
      </c>
      <c r="B300" s="53" t="s">
        <v>568</v>
      </c>
      <c r="C300" s="53" t="s">
        <v>569</v>
      </c>
      <c r="D300" s="54">
        <v>87.88</v>
      </c>
      <c r="E300" s="54">
        <v>87.88</v>
      </c>
      <c r="F300" s="53">
        <v>1</v>
      </c>
      <c r="G300" s="55">
        <f>E300/F300</f>
        <v>87.88</v>
      </c>
      <c r="H300" s="56" t="s">
        <v>1372</v>
      </c>
      <c r="I300" s="53" t="s">
        <v>1437</v>
      </c>
      <c r="J300" s="53" t="s">
        <v>1438</v>
      </c>
      <c r="K300" s="53" t="s">
        <v>1439</v>
      </c>
      <c r="L300" s="57" t="s">
        <v>22</v>
      </c>
      <c r="M300" s="8">
        <f>COUNTIF($B$1:$B$1191, B300)</f>
        <v>7</v>
      </c>
      <c r="N300" s="8">
        <f>COUNTIF($H$2:$H$1181, H300)</f>
        <v>66</v>
      </c>
    </row>
    <row r="301" spans="1:14">
      <c r="A301" s="52" t="s">
        <v>1440</v>
      </c>
      <c r="B301" s="53" t="s">
        <v>1116</v>
      </c>
      <c r="C301" s="53" t="s">
        <v>1117</v>
      </c>
      <c r="D301" s="54">
        <v>82.38</v>
      </c>
      <c r="E301" s="54">
        <v>104.35</v>
      </c>
      <c r="F301" s="53">
        <v>2</v>
      </c>
      <c r="G301" s="55">
        <f>E301/F301</f>
        <v>52.174999999999997</v>
      </c>
      <c r="H301" s="56" t="s">
        <v>1372</v>
      </c>
      <c r="I301" s="53" t="s">
        <v>1441</v>
      </c>
      <c r="J301" s="53" t="s">
        <v>1442</v>
      </c>
      <c r="K301" s="53" t="s">
        <v>1443</v>
      </c>
      <c r="L301" s="57" t="s">
        <v>22</v>
      </c>
      <c r="M301" s="8">
        <f>COUNTIF($B$1:$B$1191, B301)</f>
        <v>4</v>
      </c>
      <c r="N301" s="8">
        <f>COUNTIF($H$2:$H$1181, H301)</f>
        <v>66</v>
      </c>
    </row>
    <row r="302" spans="1:14">
      <c r="A302" s="52" t="s">
        <v>1444</v>
      </c>
      <c r="B302" s="53" t="s">
        <v>1445</v>
      </c>
      <c r="C302" s="53" t="s">
        <v>1446</v>
      </c>
      <c r="D302" s="54">
        <v>54.92</v>
      </c>
      <c r="E302" s="54">
        <v>549.22</v>
      </c>
      <c r="F302" s="53">
        <v>9</v>
      </c>
      <c r="G302" s="55">
        <f>E302/F302</f>
        <v>61.024444444444448</v>
      </c>
      <c r="H302" s="56" t="s">
        <v>1372</v>
      </c>
      <c r="I302" s="53" t="s">
        <v>1447</v>
      </c>
      <c r="J302" s="53" t="s">
        <v>1448</v>
      </c>
      <c r="K302" s="53" t="s">
        <v>1449</v>
      </c>
      <c r="L302" s="57" t="s">
        <v>22</v>
      </c>
      <c r="M302" s="8">
        <f>COUNTIF($B$1:$B$1191, B302)</f>
        <v>1</v>
      </c>
      <c r="N302" s="8">
        <f>COUNTIF($H$2:$H$1181, H302)</f>
        <v>66</v>
      </c>
    </row>
    <row r="303" spans="1:14">
      <c r="A303" s="52" t="s">
        <v>1450</v>
      </c>
      <c r="B303" s="53" t="s">
        <v>1053</v>
      </c>
      <c r="C303" s="53" t="s">
        <v>506</v>
      </c>
      <c r="D303" s="54">
        <v>137.31</v>
      </c>
      <c r="E303" s="54">
        <v>137.31</v>
      </c>
      <c r="F303" s="53">
        <v>1</v>
      </c>
      <c r="G303" s="55">
        <f>E303/F303</f>
        <v>137.31</v>
      </c>
      <c r="H303" s="56" t="s">
        <v>1372</v>
      </c>
      <c r="I303" s="53" t="s">
        <v>1451</v>
      </c>
      <c r="J303" s="53" t="s">
        <v>1452</v>
      </c>
      <c r="K303" s="53" t="s">
        <v>1453</v>
      </c>
      <c r="L303" s="57" t="s">
        <v>22</v>
      </c>
      <c r="M303" s="8">
        <f>COUNTIF($B$1:$B$1191, B303)</f>
        <v>20</v>
      </c>
      <c r="N303" s="8">
        <f>COUNTIF($H$2:$H$1181, H303)</f>
        <v>66</v>
      </c>
    </row>
    <row r="304" spans="1:14">
      <c r="A304" s="52" t="s">
        <v>1454</v>
      </c>
      <c r="B304" s="53" t="s">
        <v>708</v>
      </c>
      <c r="C304" s="53" t="s">
        <v>709</v>
      </c>
      <c r="D304" s="54">
        <v>104.35</v>
      </c>
      <c r="E304" s="54">
        <v>104.35</v>
      </c>
      <c r="F304" s="53">
        <v>1</v>
      </c>
      <c r="G304" s="55">
        <f>E304/F304</f>
        <v>104.35</v>
      </c>
      <c r="H304" s="56" t="s">
        <v>1372</v>
      </c>
      <c r="I304" s="53" t="s">
        <v>1455</v>
      </c>
      <c r="J304" s="53" t="s">
        <v>1456</v>
      </c>
      <c r="K304" s="53" t="s">
        <v>1457</v>
      </c>
      <c r="L304" s="57" t="s">
        <v>22</v>
      </c>
      <c r="M304" s="8">
        <f>COUNTIF($B$1:$B$1191, B304)</f>
        <v>8</v>
      </c>
      <c r="N304" s="8">
        <f>COUNTIF($H$2:$H$1181, H304)</f>
        <v>66</v>
      </c>
    </row>
    <row r="305" spans="1:14">
      <c r="A305" s="52" t="s">
        <v>1458</v>
      </c>
      <c r="B305" s="53" t="s">
        <v>1459</v>
      </c>
      <c r="C305" s="53" t="s">
        <v>1460</v>
      </c>
      <c r="D305" s="54">
        <v>76.89</v>
      </c>
      <c r="E305" s="54">
        <v>76.89</v>
      </c>
      <c r="F305" s="53">
        <v>1</v>
      </c>
      <c r="G305" s="55">
        <f>E305/F305</f>
        <v>76.89</v>
      </c>
      <c r="H305" s="56" t="s">
        <v>1372</v>
      </c>
      <c r="I305" s="53" t="s">
        <v>1461</v>
      </c>
      <c r="J305" s="53" t="s">
        <v>1462</v>
      </c>
      <c r="K305" s="53" t="s">
        <v>1463</v>
      </c>
      <c r="L305" s="57" t="s">
        <v>22</v>
      </c>
      <c r="M305" s="8">
        <f>COUNTIF($B$1:$B$1191, B305)</f>
        <v>1</v>
      </c>
      <c r="N305" s="8">
        <f>COUNTIF($H$2:$H$1181, H305)</f>
        <v>66</v>
      </c>
    </row>
    <row r="306" spans="1:14">
      <c r="A306" s="52" t="s">
        <v>1464</v>
      </c>
      <c r="B306" s="53" t="s">
        <v>65</v>
      </c>
      <c r="C306" s="53" t="s">
        <v>66</v>
      </c>
      <c r="D306" s="54">
        <v>104.35</v>
      </c>
      <c r="E306" s="54">
        <v>104.35</v>
      </c>
      <c r="F306" s="53">
        <v>1</v>
      </c>
      <c r="G306" s="55">
        <f>E306/F306</f>
        <v>104.35</v>
      </c>
      <c r="H306" s="56" t="s">
        <v>1372</v>
      </c>
      <c r="I306" s="53" t="s">
        <v>1465</v>
      </c>
      <c r="J306" s="53" t="s">
        <v>1466</v>
      </c>
      <c r="K306" s="53" t="s">
        <v>1467</v>
      </c>
      <c r="L306" s="57" t="s">
        <v>22</v>
      </c>
      <c r="M306" s="8">
        <f>COUNTIF($B$1:$B$1191, B306)</f>
        <v>9</v>
      </c>
      <c r="N306" s="8">
        <f>COUNTIF($H$2:$H$1181, H306)</f>
        <v>66</v>
      </c>
    </row>
    <row r="307" spans="1:14">
      <c r="A307" s="52" t="s">
        <v>1468</v>
      </c>
      <c r="B307" s="53" t="s">
        <v>1405</v>
      </c>
      <c r="C307" s="53" t="s">
        <v>1406</v>
      </c>
      <c r="D307" s="54">
        <v>126.15</v>
      </c>
      <c r="E307" s="54">
        <v>126.15</v>
      </c>
      <c r="F307" s="53">
        <v>1</v>
      </c>
      <c r="G307" s="55">
        <f>E307/F307</f>
        <v>126.15</v>
      </c>
      <c r="H307" s="56" t="s">
        <v>1372</v>
      </c>
      <c r="I307" s="53" t="s">
        <v>1469</v>
      </c>
      <c r="J307" s="53" t="s">
        <v>1470</v>
      </c>
      <c r="K307" s="53" t="s">
        <v>1471</v>
      </c>
      <c r="L307" s="57" t="s">
        <v>22</v>
      </c>
      <c r="M307" s="8">
        <f>COUNTIF($B$1:$B$1191, B307)</f>
        <v>2</v>
      </c>
      <c r="N307" s="8">
        <f>COUNTIF($H$2:$H$1181, H307)</f>
        <v>66</v>
      </c>
    </row>
    <row r="308" spans="1:14">
      <c r="A308" s="52" t="s">
        <v>1472</v>
      </c>
      <c r="B308" s="53" t="s">
        <v>1150</v>
      </c>
      <c r="C308" s="53" t="s">
        <v>1151</v>
      </c>
      <c r="D308" s="54">
        <v>378.46</v>
      </c>
      <c r="E308" s="54">
        <v>378.46</v>
      </c>
      <c r="F308" s="53">
        <v>1</v>
      </c>
      <c r="G308" s="55">
        <f>E308/F308</f>
        <v>378.46</v>
      </c>
      <c r="H308" s="56" t="s">
        <v>1372</v>
      </c>
      <c r="I308" s="53" t="s">
        <v>1473</v>
      </c>
      <c r="J308" s="53" t="s">
        <v>1474</v>
      </c>
      <c r="K308" s="53" t="s">
        <v>1475</v>
      </c>
      <c r="L308" s="57" t="s">
        <v>22</v>
      </c>
      <c r="M308" s="8">
        <f>COUNTIF($B$1:$B$1191, B308)</f>
        <v>2</v>
      </c>
      <c r="N308" s="8">
        <f>COUNTIF($H$2:$H$1181, H308)</f>
        <v>66</v>
      </c>
    </row>
    <row r="309" spans="1:14">
      <c r="A309" s="52" t="s">
        <v>1476</v>
      </c>
      <c r="B309" s="53" t="s">
        <v>1477</v>
      </c>
      <c r="C309" s="53" t="s">
        <v>1477</v>
      </c>
      <c r="D309" s="54">
        <v>246.82</v>
      </c>
      <c r="E309" s="54">
        <v>2188.4899999999998</v>
      </c>
      <c r="F309" s="53">
        <v>50</v>
      </c>
      <c r="G309" s="55">
        <f>E309/F309</f>
        <v>43.769799999999996</v>
      </c>
      <c r="H309" s="56" t="s">
        <v>1372</v>
      </c>
      <c r="I309" s="53" t="s">
        <v>1478</v>
      </c>
      <c r="J309" s="53" t="s">
        <v>1479</v>
      </c>
      <c r="K309" s="53" t="s">
        <v>1480</v>
      </c>
      <c r="L309" s="57" t="s">
        <v>22</v>
      </c>
      <c r="M309" s="8">
        <f>COUNTIF($B$1:$B$1191, B309)</f>
        <v>1</v>
      </c>
      <c r="N309" s="8">
        <f>COUNTIF($H$2:$H$1181, H309)</f>
        <v>66</v>
      </c>
    </row>
    <row r="310" spans="1:14">
      <c r="A310" s="52" t="s">
        <v>1481</v>
      </c>
      <c r="B310" s="53" t="s">
        <v>1482</v>
      </c>
      <c r="C310" s="53" t="s">
        <v>211</v>
      </c>
      <c r="D310" s="54">
        <v>141.4</v>
      </c>
      <c r="E310" s="54">
        <v>141.4</v>
      </c>
      <c r="F310" s="53">
        <v>1</v>
      </c>
      <c r="G310" s="55">
        <f>E310/F310</f>
        <v>141.4</v>
      </c>
      <c r="H310" s="56" t="s">
        <v>1372</v>
      </c>
      <c r="I310" s="53" t="s">
        <v>1483</v>
      </c>
      <c r="J310" s="53" t="s">
        <v>1484</v>
      </c>
      <c r="K310" s="53" t="s">
        <v>1485</v>
      </c>
      <c r="L310" s="57" t="s">
        <v>22</v>
      </c>
      <c r="M310" s="8">
        <f>COUNTIF($B$1:$B$1191, B310)</f>
        <v>4</v>
      </c>
      <c r="N310" s="8">
        <f>COUNTIF($H$2:$H$1181, H310)</f>
        <v>66</v>
      </c>
    </row>
    <row r="311" spans="1:14">
      <c r="A311" s="52" t="s">
        <v>1486</v>
      </c>
      <c r="B311" s="53" t="s">
        <v>708</v>
      </c>
      <c r="C311" s="53" t="s">
        <v>709</v>
      </c>
      <c r="D311" s="54">
        <v>104.21</v>
      </c>
      <c r="E311" s="54">
        <v>104.21</v>
      </c>
      <c r="F311" s="53">
        <v>1</v>
      </c>
      <c r="G311" s="55">
        <f>E311/F311</f>
        <v>104.21</v>
      </c>
      <c r="H311" s="56" t="s">
        <v>1372</v>
      </c>
      <c r="I311" s="53" t="s">
        <v>1487</v>
      </c>
      <c r="J311" s="53" t="s">
        <v>1488</v>
      </c>
      <c r="K311" s="53" t="s">
        <v>1489</v>
      </c>
      <c r="L311" s="57" t="s">
        <v>22</v>
      </c>
      <c r="M311" s="8">
        <f>COUNTIF($B$1:$B$1191, B311)</f>
        <v>8</v>
      </c>
      <c r="N311" s="8">
        <f>COUNTIF($H$2:$H$1181, H311)</f>
        <v>66</v>
      </c>
    </row>
    <row r="312" spans="1:14">
      <c r="A312" s="52" t="s">
        <v>1490</v>
      </c>
      <c r="B312" s="53" t="s">
        <v>708</v>
      </c>
      <c r="C312" s="53" t="s">
        <v>709</v>
      </c>
      <c r="D312" s="54">
        <v>104.21</v>
      </c>
      <c r="E312" s="54">
        <v>104.21</v>
      </c>
      <c r="F312" s="53">
        <v>1</v>
      </c>
      <c r="G312" s="55">
        <f>E312/F312</f>
        <v>104.21</v>
      </c>
      <c r="H312" s="56" t="s">
        <v>1372</v>
      </c>
      <c r="I312" s="53" t="s">
        <v>1491</v>
      </c>
      <c r="J312" s="53" t="s">
        <v>1492</v>
      </c>
      <c r="K312" s="53" t="s">
        <v>1493</v>
      </c>
      <c r="L312" s="57" t="s">
        <v>22</v>
      </c>
      <c r="M312" s="8">
        <f>COUNTIF($B$1:$B$1191, B312)</f>
        <v>8</v>
      </c>
      <c r="N312" s="8">
        <f>COUNTIF($H$2:$H$1181, H312)</f>
        <v>66</v>
      </c>
    </row>
    <row r="313" spans="1:14">
      <c r="A313" s="52" t="s">
        <v>1494</v>
      </c>
      <c r="B313" s="53" t="s">
        <v>1495</v>
      </c>
      <c r="C313" s="53" t="s">
        <v>1496</v>
      </c>
      <c r="D313" s="54">
        <v>93.24</v>
      </c>
      <c r="E313" s="54">
        <v>93.24</v>
      </c>
      <c r="F313" s="53">
        <v>1</v>
      </c>
      <c r="G313" s="55">
        <f>E313/F313</f>
        <v>93.24</v>
      </c>
      <c r="H313" s="56" t="s">
        <v>1372</v>
      </c>
      <c r="I313" s="53" t="s">
        <v>1497</v>
      </c>
      <c r="J313" s="53" t="s">
        <v>1498</v>
      </c>
      <c r="K313" s="53" t="s">
        <v>1499</v>
      </c>
      <c r="L313" s="57" t="s">
        <v>22</v>
      </c>
      <c r="M313" s="8">
        <f>COUNTIF($B$1:$B$1191, B313)</f>
        <v>2</v>
      </c>
      <c r="N313" s="8">
        <f>COUNTIF($H$2:$H$1181, H313)</f>
        <v>66</v>
      </c>
    </row>
    <row r="314" spans="1:14">
      <c r="A314" s="52" t="s">
        <v>1500</v>
      </c>
      <c r="B314" s="53" t="s">
        <v>568</v>
      </c>
      <c r="C314" s="53" t="s">
        <v>569</v>
      </c>
      <c r="D314" s="54">
        <v>82.27</v>
      </c>
      <c r="E314" s="54">
        <v>82.27</v>
      </c>
      <c r="F314" s="53">
        <v>1</v>
      </c>
      <c r="G314" s="55">
        <f>E314/F314</f>
        <v>82.27</v>
      </c>
      <c r="H314" s="56" t="s">
        <v>1372</v>
      </c>
      <c r="I314" s="53" t="s">
        <v>1501</v>
      </c>
      <c r="J314" s="53" t="s">
        <v>1502</v>
      </c>
      <c r="K314" s="53" t="s">
        <v>1503</v>
      </c>
      <c r="L314" s="57" t="s">
        <v>22</v>
      </c>
      <c r="M314" s="8">
        <f>COUNTIF($B$1:$B$1191, B314)</f>
        <v>7</v>
      </c>
      <c r="N314" s="8">
        <f>COUNTIF($H$2:$H$1181, H314)</f>
        <v>66</v>
      </c>
    </row>
    <row r="315" spans="1:14">
      <c r="A315" s="52" t="s">
        <v>1504</v>
      </c>
      <c r="B315" s="53" t="s">
        <v>455</v>
      </c>
      <c r="C315" s="53" t="s">
        <v>456</v>
      </c>
      <c r="D315" s="54">
        <v>65.819999999999993</v>
      </c>
      <c r="E315" s="54">
        <v>65.819999999999993</v>
      </c>
      <c r="F315" s="53">
        <v>1</v>
      </c>
      <c r="G315" s="55">
        <f>E315/F315</f>
        <v>65.819999999999993</v>
      </c>
      <c r="H315" s="56" t="s">
        <v>1372</v>
      </c>
      <c r="I315" s="53" t="s">
        <v>1505</v>
      </c>
      <c r="J315" s="53" t="s">
        <v>1506</v>
      </c>
      <c r="K315" s="53" t="s">
        <v>1507</v>
      </c>
      <c r="L315" s="57" t="s">
        <v>22</v>
      </c>
      <c r="M315" s="8">
        <f>COUNTIF($B$1:$B$1191, B315)</f>
        <v>7</v>
      </c>
      <c r="N315" s="8">
        <f>COUNTIF($H$2:$H$1181, H315)</f>
        <v>66</v>
      </c>
    </row>
    <row r="316" spans="1:14">
      <c r="A316" s="52" t="s">
        <v>1508</v>
      </c>
      <c r="B316" s="53" t="s">
        <v>1509</v>
      </c>
      <c r="C316" s="53" t="s">
        <v>1510</v>
      </c>
      <c r="D316" s="54">
        <v>104.21</v>
      </c>
      <c r="E316" s="54">
        <v>120.67</v>
      </c>
      <c r="F316" s="53">
        <v>2</v>
      </c>
      <c r="G316" s="55">
        <f>E316/F316</f>
        <v>60.335000000000001</v>
      </c>
      <c r="H316" s="56" t="s">
        <v>1372</v>
      </c>
      <c r="I316" s="53" t="s">
        <v>1511</v>
      </c>
      <c r="J316" s="53" t="s">
        <v>1512</v>
      </c>
      <c r="K316" s="53" t="s">
        <v>1513</v>
      </c>
      <c r="L316" s="57" t="s">
        <v>22</v>
      </c>
      <c r="M316" s="8">
        <f>COUNTIF($B$1:$B$1191, B316)</f>
        <v>1</v>
      </c>
      <c r="N316" s="8">
        <f>COUNTIF($H$2:$H$1181, H316)</f>
        <v>66</v>
      </c>
    </row>
    <row r="317" spans="1:14">
      <c r="A317" s="52" t="s">
        <v>1514</v>
      </c>
      <c r="B317" s="53" t="s">
        <v>379</v>
      </c>
      <c r="C317" s="53" t="s">
        <v>379</v>
      </c>
      <c r="D317" s="54">
        <v>115.18</v>
      </c>
      <c r="E317" s="54">
        <v>115.18</v>
      </c>
      <c r="F317" s="53">
        <v>2</v>
      </c>
      <c r="G317" s="55">
        <f>E317/F317</f>
        <v>57.59</v>
      </c>
      <c r="H317" s="56" t="s">
        <v>1372</v>
      </c>
      <c r="I317" s="53" t="s">
        <v>1515</v>
      </c>
      <c r="J317" s="53" t="s">
        <v>1516</v>
      </c>
      <c r="K317" s="53" t="s">
        <v>1517</v>
      </c>
      <c r="L317" s="57" t="s">
        <v>22</v>
      </c>
      <c r="M317" s="8">
        <f>COUNTIF($B$1:$B$1191, B317)</f>
        <v>19</v>
      </c>
      <c r="N317" s="8">
        <f>COUNTIF($H$2:$H$1181, H317)</f>
        <v>66</v>
      </c>
    </row>
    <row r="318" spans="1:14">
      <c r="A318" s="52" t="s">
        <v>1518</v>
      </c>
      <c r="B318" s="53" t="s">
        <v>1519</v>
      </c>
      <c r="C318" s="53" t="s">
        <v>1520</v>
      </c>
      <c r="D318" s="54">
        <v>76.790000000000006</v>
      </c>
      <c r="E318" s="54">
        <v>76.790000000000006</v>
      </c>
      <c r="F318" s="53">
        <v>1</v>
      </c>
      <c r="G318" s="55">
        <f>E318/F318</f>
        <v>76.790000000000006</v>
      </c>
      <c r="H318" s="56" t="s">
        <v>1372</v>
      </c>
      <c r="I318" s="53" t="s">
        <v>1521</v>
      </c>
      <c r="J318" s="53" t="s">
        <v>1522</v>
      </c>
      <c r="K318" s="53" t="s">
        <v>1523</v>
      </c>
      <c r="L318" s="57" t="s">
        <v>22</v>
      </c>
      <c r="M318" s="8">
        <f>COUNTIF($B$1:$B$1191, B318)</f>
        <v>1</v>
      </c>
      <c r="N318" s="8">
        <f>COUNTIF($H$2:$H$1181, H318)</f>
        <v>66</v>
      </c>
    </row>
    <row r="319" spans="1:14">
      <c r="A319" s="52" t="s">
        <v>1524</v>
      </c>
      <c r="B319" s="53" t="s">
        <v>270</v>
      </c>
      <c r="C319" s="53" t="s">
        <v>271</v>
      </c>
      <c r="D319" s="54">
        <v>488.16</v>
      </c>
      <c r="E319" s="54">
        <v>488.16</v>
      </c>
      <c r="F319" s="53">
        <v>1</v>
      </c>
      <c r="G319" s="55">
        <f>E319/F319</f>
        <v>488.16</v>
      </c>
      <c r="H319" s="56" t="s">
        <v>1372</v>
      </c>
      <c r="I319" s="53" t="s">
        <v>1525</v>
      </c>
      <c r="J319" s="53" t="s">
        <v>1526</v>
      </c>
      <c r="K319" s="53" t="s">
        <v>1527</v>
      </c>
      <c r="L319" s="57" t="s">
        <v>22</v>
      </c>
      <c r="M319" s="8">
        <f>COUNTIF($B$1:$B$1191, B319)</f>
        <v>5</v>
      </c>
      <c r="N319" s="8">
        <f>COUNTIF($H$2:$H$1181, H319)</f>
        <v>66</v>
      </c>
    </row>
    <row r="320" spans="1:14">
      <c r="A320" s="52" t="s">
        <v>1528</v>
      </c>
      <c r="B320" s="53" t="s">
        <v>708</v>
      </c>
      <c r="C320" s="53" t="s">
        <v>709</v>
      </c>
      <c r="D320" s="54">
        <v>104.21</v>
      </c>
      <c r="E320" s="54">
        <v>104.21</v>
      </c>
      <c r="F320" s="53">
        <v>1</v>
      </c>
      <c r="G320" s="55">
        <f>E320/F320</f>
        <v>104.21</v>
      </c>
      <c r="H320" s="56" t="s">
        <v>1372</v>
      </c>
      <c r="I320" s="53" t="s">
        <v>1529</v>
      </c>
      <c r="J320" s="53" t="s">
        <v>1530</v>
      </c>
      <c r="K320" s="53" t="s">
        <v>1531</v>
      </c>
      <c r="L320" s="57" t="s">
        <v>22</v>
      </c>
      <c r="M320" s="8">
        <f>COUNTIF($B$1:$B$1191, B320)</f>
        <v>8</v>
      </c>
      <c r="N320" s="8">
        <f>COUNTIF($H$2:$H$1181, H320)</f>
        <v>66</v>
      </c>
    </row>
    <row r="321" spans="1:14">
      <c r="A321" s="52" t="s">
        <v>1532</v>
      </c>
      <c r="B321" s="53" t="s">
        <v>1533</v>
      </c>
      <c r="C321" s="53" t="s">
        <v>1534</v>
      </c>
      <c r="D321" s="54">
        <v>98.73</v>
      </c>
      <c r="E321" s="54">
        <v>98.73</v>
      </c>
      <c r="F321" s="53">
        <v>1</v>
      </c>
      <c r="G321" s="55">
        <f>E321/F321</f>
        <v>98.73</v>
      </c>
      <c r="H321" s="56" t="s">
        <v>1372</v>
      </c>
      <c r="I321" s="53" t="s">
        <v>1535</v>
      </c>
      <c r="J321" s="53" t="s">
        <v>1536</v>
      </c>
      <c r="K321" s="53" t="s">
        <v>1537</v>
      </c>
      <c r="L321" s="57" t="s">
        <v>22</v>
      </c>
      <c r="M321" s="8">
        <f>COUNTIF($B$1:$B$1191, B321)</f>
        <v>4</v>
      </c>
      <c r="N321" s="8">
        <f>COUNTIF($H$2:$H$1181, H321)</f>
        <v>66</v>
      </c>
    </row>
    <row r="322" spans="1:14">
      <c r="A322" s="52" t="s">
        <v>1538</v>
      </c>
      <c r="B322" s="53" t="s">
        <v>65</v>
      </c>
      <c r="C322" s="53" t="s">
        <v>66</v>
      </c>
      <c r="D322" s="54">
        <v>98.73</v>
      </c>
      <c r="E322" s="54">
        <v>98.73</v>
      </c>
      <c r="F322" s="53">
        <v>1</v>
      </c>
      <c r="G322" s="55">
        <f>E322/F322</f>
        <v>98.73</v>
      </c>
      <c r="H322" s="56" t="s">
        <v>1372</v>
      </c>
      <c r="I322" s="53" t="s">
        <v>1539</v>
      </c>
      <c r="J322" s="53" t="s">
        <v>1540</v>
      </c>
      <c r="K322" s="53" t="s">
        <v>1541</v>
      </c>
      <c r="L322" s="57" t="s">
        <v>22</v>
      </c>
      <c r="M322" s="8">
        <f>COUNTIF($B$1:$B$1191, B322)</f>
        <v>9</v>
      </c>
      <c r="N322" s="8">
        <f>COUNTIF($H$2:$H$1181, H322)</f>
        <v>66</v>
      </c>
    </row>
    <row r="323" spans="1:14">
      <c r="A323" s="52" t="s">
        <v>1542</v>
      </c>
      <c r="B323" s="53" t="s">
        <v>568</v>
      </c>
      <c r="C323" s="53" t="s">
        <v>569</v>
      </c>
      <c r="D323" s="54">
        <v>98.73</v>
      </c>
      <c r="E323" s="54">
        <v>98.73</v>
      </c>
      <c r="F323" s="53">
        <v>1</v>
      </c>
      <c r="G323" s="55">
        <f>E323/F323</f>
        <v>98.73</v>
      </c>
      <c r="H323" s="56" t="s">
        <v>1372</v>
      </c>
      <c r="I323" s="53" t="s">
        <v>1543</v>
      </c>
      <c r="J323" s="53" t="s">
        <v>1544</v>
      </c>
      <c r="K323" s="53" t="s">
        <v>1545</v>
      </c>
      <c r="L323" s="57" t="s">
        <v>22</v>
      </c>
      <c r="M323" s="8">
        <f>COUNTIF($B$1:$B$1191, B323)</f>
        <v>7</v>
      </c>
      <c r="N323" s="8">
        <f>COUNTIF($H$2:$H$1181, H323)</f>
        <v>66</v>
      </c>
    </row>
    <row r="324" spans="1:14">
      <c r="A324" s="52" t="s">
        <v>1546</v>
      </c>
      <c r="B324" s="53" t="s">
        <v>813</v>
      </c>
      <c r="C324" s="53" t="s">
        <v>814</v>
      </c>
      <c r="D324" s="54">
        <v>93.24</v>
      </c>
      <c r="E324" s="54">
        <v>93.24</v>
      </c>
      <c r="F324" s="53">
        <v>1</v>
      </c>
      <c r="G324" s="55">
        <f>E324/F324</f>
        <v>93.24</v>
      </c>
      <c r="H324" s="56" t="s">
        <v>1372</v>
      </c>
      <c r="I324" s="53" t="s">
        <v>1547</v>
      </c>
      <c r="J324" s="53" t="s">
        <v>1548</v>
      </c>
      <c r="K324" s="53" t="s">
        <v>1549</v>
      </c>
      <c r="L324" s="57" t="s">
        <v>22</v>
      </c>
      <c r="M324" s="8">
        <f>COUNTIF($B$1:$B$1191, B324)</f>
        <v>6</v>
      </c>
      <c r="N324" s="8">
        <f>COUNTIF($H$2:$H$1181, H324)</f>
        <v>66</v>
      </c>
    </row>
    <row r="325" spans="1:14">
      <c r="A325" s="52" t="s">
        <v>1550</v>
      </c>
      <c r="B325" s="53" t="s">
        <v>384</v>
      </c>
      <c r="C325" s="53" t="s">
        <v>385</v>
      </c>
      <c r="D325" s="54">
        <v>93.24</v>
      </c>
      <c r="E325" s="54">
        <v>104.21</v>
      </c>
      <c r="F325" s="53">
        <v>2</v>
      </c>
      <c r="G325" s="55">
        <f>E325/F325</f>
        <v>52.104999999999997</v>
      </c>
      <c r="H325" s="56" t="s">
        <v>1372</v>
      </c>
      <c r="I325" s="53" t="s">
        <v>1551</v>
      </c>
      <c r="J325" s="53" t="s">
        <v>1552</v>
      </c>
      <c r="K325" s="53" t="s">
        <v>1553</v>
      </c>
      <c r="L325" s="57" t="s">
        <v>153</v>
      </c>
      <c r="M325" s="8">
        <f>COUNTIF($B$1:$B$1191, B325)</f>
        <v>9</v>
      </c>
      <c r="N325" s="8">
        <f>COUNTIF($H$2:$H$1181, H325)</f>
        <v>66</v>
      </c>
    </row>
    <row r="326" spans="1:14">
      <c r="A326" s="52" t="s">
        <v>1554</v>
      </c>
      <c r="B326" s="53" t="s">
        <v>1423</v>
      </c>
      <c r="C326" s="53" t="s">
        <v>1424</v>
      </c>
      <c r="D326" s="54">
        <v>87.76</v>
      </c>
      <c r="E326" s="54">
        <v>87.76</v>
      </c>
      <c r="F326" s="53">
        <v>1</v>
      </c>
      <c r="G326" s="55">
        <f>E326/F326</f>
        <v>87.76</v>
      </c>
      <c r="H326" s="56" t="s">
        <v>1372</v>
      </c>
      <c r="I326" s="53" t="s">
        <v>1555</v>
      </c>
      <c r="J326" s="53" t="s">
        <v>1556</v>
      </c>
      <c r="K326" s="53" t="s">
        <v>1557</v>
      </c>
      <c r="L326" s="57" t="s">
        <v>22</v>
      </c>
      <c r="M326" s="8">
        <f>COUNTIF($B$1:$B$1191, B326)</f>
        <v>4</v>
      </c>
      <c r="N326" s="8">
        <f>COUNTIF($H$2:$H$1181, H326)</f>
        <v>66</v>
      </c>
    </row>
    <row r="327" spans="1:14">
      <c r="A327" s="52" t="s">
        <v>1558</v>
      </c>
      <c r="B327" s="53" t="s">
        <v>384</v>
      </c>
      <c r="C327" s="53" t="s">
        <v>385</v>
      </c>
      <c r="D327" s="54">
        <v>87.76</v>
      </c>
      <c r="E327" s="54">
        <v>104.21</v>
      </c>
      <c r="F327" s="53">
        <v>2</v>
      </c>
      <c r="G327" s="55">
        <f>E327/F327</f>
        <v>52.104999999999997</v>
      </c>
      <c r="H327" s="56" t="s">
        <v>1372</v>
      </c>
      <c r="I327" s="53" t="s">
        <v>1559</v>
      </c>
      <c r="J327" s="53" t="s">
        <v>1560</v>
      </c>
      <c r="K327" s="53" t="s">
        <v>1561</v>
      </c>
      <c r="L327" s="57" t="s">
        <v>22</v>
      </c>
      <c r="M327" s="8">
        <f>COUNTIF($B$1:$B$1191, B327)</f>
        <v>9</v>
      </c>
      <c r="N327" s="8">
        <f>COUNTIF($H$2:$H$1181, H327)</f>
        <v>66</v>
      </c>
    </row>
    <row r="328" spans="1:14">
      <c r="A328" s="52" t="s">
        <v>1562</v>
      </c>
      <c r="B328" s="53" t="s">
        <v>432</v>
      </c>
      <c r="C328" s="53" t="s">
        <v>433</v>
      </c>
      <c r="D328" s="54">
        <v>87.76</v>
      </c>
      <c r="E328" s="54">
        <v>87.76</v>
      </c>
      <c r="F328" s="53">
        <v>1</v>
      </c>
      <c r="G328" s="55">
        <f>E328/F328</f>
        <v>87.76</v>
      </c>
      <c r="H328" s="56" t="s">
        <v>1372</v>
      </c>
      <c r="I328" s="53" t="s">
        <v>1563</v>
      </c>
      <c r="J328" s="53" t="s">
        <v>1564</v>
      </c>
      <c r="K328" s="53" t="s">
        <v>1565</v>
      </c>
      <c r="L328" s="57" t="s">
        <v>22</v>
      </c>
      <c r="M328" s="8">
        <f>COUNTIF($B$1:$B$1191, B328)</f>
        <v>10</v>
      </c>
      <c r="N328" s="8">
        <f>COUNTIF($H$2:$H$1181, H328)</f>
        <v>66</v>
      </c>
    </row>
    <row r="329" spans="1:14">
      <c r="A329" s="52" t="s">
        <v>1566</v>
      </c>
      <c r="B329" s="53" t="s">
        <v>1116</v>
      </c>
      <c r="C329" s="53" t="s">
        <v>1117</v>
      </c>
      <c r="D329" s="54">
        <v>82.27</v>
      </c>
      <c r="E329" s="54">
        <v>82.27</v>
      </c>
      <c r="F329" s="53">
        <v>1</v>
      </c>
      <c r="G329" s="55">
        <f>E329/F329</f>
        <v>82.27</v>
      </c>
      <c r="H329" s="56" t="s">
        <v>1372</v>
      </c>
      <c r="I329" s="53" t="s">
        <v>1567</v>
      </c>
      <c r="J329" s="53" t="s">
        <v>1568</v>
      </c>
      <c r="K329" s="53" t="s">
        <v>1569</v>
      </c>
      <c r="L329" s="57" t="s">
        <v>22</v>
      </c>
      <c r="M329" s="8">
        <f>COUNTIF($B$1:$B$1191, B329)</f>
        <v>4</v>
      </c>
      <c r="N329" s="8">
        <f>COUNTIF($H$2:$H$1181, H329)</f>
        <v>66</v>
      </c>
    </row>
    <row r="330" spans="1:14">
      <c r="A330" s="52" t="s">
        <v>1570</v>
      </c>
      <c r="B330" s="53" t="s">
        <v>432</v>
      </c>
      <c r="C330" s="53" t="s">
        <v>433</v>
      </c>
      <c r="D330" s="54">
        <v>76.790000000000006</v>
      </c>
      <c r="E330" s="54">
        <v>76.790000000000006</v>
      </c>
      <c r="F330" s="53">
        <v>1</v>
      </c>
      <c r="G330" s="55">
        <f>E330/F330</f>
        <v>76.790000000000006</v>
      </c>
      <c r="H330" s="56" t="s">
        <v>1372</v>
      </c>
      <c r="I330" s="53" t="s">
        <v>1571</v>
      </c>
      <c r="J330" s="53" t="s">
        <v>1572</v>
      </c>
      <c r="K330" s="53" t="s">
        <v>1573</v>
      </c>
      <c r="L330" s="57" t="s">
        <v>22</v>
      </c>
      <c r="M330" s="8">
        <f>COUNTIF($B$1:$B$1191, B330)</f>
        <v>10</v>
      </c>
      <c r="N330" s="8">
        <f>COUNTIF($H$2:$H$1181, H330)</f>
        <v>66</v>
      </c>
    </row>
    <row r="331" spans="1:14">
      <c r="A331" s="52" t="s">
        <v>1574</v>
      </c>
      <c r="B331" s="53" t="s">
        <v>455</v>
      </c>
      <c r="C331" s="53" t="s">
        <v>456</v>
      </c>
      <c r="D331" s="54">
        <v>65.819999999999993</v>
      </c>
      <c r="E331" s="54">
        <v>65.819999999999993</v>
      </c>
      <c r="F331" s="53">
        <v>1</v>
      </c>
      <c r="G331" s="55">
        <f>E331/F331</f>
        <v>65.819999999999993</v>
      </c>
      <c r="H331" s="56" t="s">
        <v>1372</v>
      </c>
      <c r="I331" s="53" t="s">
        <v>1575</v>
      </c>
      <c r="J331" s="53" t="s">
        <v>1576</v>
      </c>
      <c r="K331" s="53" t="s">
        <v>1577</v>
      </c>
      <c r="L331" s="57" t="s">
        <v>22</v>
      </c>
      <c r="M331" s="8">
        <f>COUNTIF($B$1:$B$1191, B331)</f>
        <v>7</v>
      </c>
      <c r="N331" s="8">
        <f>COUNTIF($H$2:$H$1181, H331)</f>
        <v>66</v>
      </c>
    </row>
    <row r="332" spans="1:14">
      <c r="A332" s="52" t="s">
        <v>1578</v>
      </c>
      <c r="B332" s="53" t="s">
        <v>346</v>
      </c>
      <c r="C332" s="53" t="s">
        <v>347</v>
      </c>
      <c r="D332" s="54">
        <v>93.24</v>
      </c>
      <c r="E332" s="54">
        <v>93.24</v>
      </c>
      <c r="F332" s="53">
        <v>1</v>
      </c>
      <c r="G332" s="55">
        <f>E332/F332</f>
        <v>93.24</v>
      </c>
      <c r="H332" s="56" t="s">
        <v>1372</v>
      </c>
      <c r="I332" s="53" t="s">
        <v>1579</v>
      </c>
      <c r="J332" s="53" t="s">
        <v>1580</v>
      </c>
      <c r="K332" s="53" t="s">
        <v>1581</v>
      </c>
      <c r="L332" s="57" t="s">
        <v>22</v>
      </c>
      <c r="M332" s="8">
        <f>COUNTIF($B$1:$B$1191, B332)</f>
        <v>11</v>
      </c>
      <c r="N332" s="8">
        <f>COUNTIF($H$2:$H$1181, H332)</f>
        <v>66</v>
      </c>
    </row>
    <row r="333" spans="1:14">
      <c r="A333" s="52" t="s">
        <v>1582</v>
      </c>
      <c r="B333" s="53" t="s">
        <v>1227</v>
      </c>
      <c r="C333" s="53" t="s">
        <v>1228</v>
      </c>
      <c r="D333" s="54">
        <v>54.85</v>
      </c>
      <c r="E333" s="54">
        <v>109.7</v>
      </c>
      <c r="F333" s="53">
        <v>3</v>
      </c>
      <c r="G333" s="55">
        <f>E333/F333</f>
        <v>36.56666666666667</v>
      </c>
      <c r="H333" s="56" t="s">
        <v>1372</v>
      </c>
      <c r="I333" s="53" t="s">
        <v>1583</v>
      </c>
      <c r="J333" s="53" t="s">
        <v>1584</v>
      </c>
      <c r="K333" s="53" t="s">
        <v>1585</v>
      </c>
      <c r="L333" s="57" t="s">
        <v>22</v>
      </c>
      <c r="M333" s="8">
        <f>COUNTIF($B$1:$B$1191, B333)</f>
        <v>5</v>
      </c>
      <c r="N333" s="8">
        <f>COUNTIF($H$2:$H$1181, H333)</f>
        <v>66</v>
      </c>
    </row>
    <row r="334" spans="1:14">
      <c r="A334" s="52" t="s">
        <v>1586</v>
      </c>
      <c r="B334" s="53" t="s">
        <v>133</v>
      </c>
      <c r="C334" s="53" t="s">
        <v>134</v>
      </c>
      <c r="D334" s="54">
        <v>120.67</v>
      </c>
      <c r="E334" s="54">
        <v>120.67</v>
      </c>
      <c r="F334" s="53">
        <v>1</v>
      </c>
      <c r="G334" s="55">
        <f>E334/F334</f>
        <v>120.67</v>
      </c>
      <c r="H334" s="56" t="s">
        <v>1372</v>
      </c>
      <c r="I334" s="53" t="s">
        <v>1587</v>
      </c>
      <c r="J334" s="53" t="s">
        <v>1588</v>
      </c>
      <c r="K334" s="53" t="s">
        <v>1589</v>
      </c>
      <c r="L334" s="57" t="s">
        <v>22</v>
      </c>
      <c r="M334" s="8">
        <f>COUNTIF($B$1:$B$1191, B334)</f>
        <v>3</v>
      </c>
      <c r="N334" s="8">
        <f>COUNTIF($H$2:$H$1181, H334)</f>
        <v>66</v>
      </c>
    </row>
    <row r="335" spans="1:14">
      <c r="A335" s="52" t="s">
        <v>1590</v>
      </c>
      <c r="B335" s="53" t="s">
        <v>346</v>
      </c>
      <c r="C335" s="53" t="s">
        <v>347</v>
      </c>
      <c r="D335" s="54">
        <v>82.27</v>
      </c>
      <c r="E335" s="54">
        <v>82.27</v>
      </c>
      <c r="F335" s="53">
        <v>1</v>
      </c>
      <c r="G335" s="55">
        <f>E335/F335</f>
        <v>82.27</v>
      </c>
      <c r="H335" s="56" t="s">
        <v>1372</v>
      </c>
      <c r="I335" s="53" t="s">
        <v>1591</v>
      </c>
      <c r="J335" s="53" t="s">
        <v>1592</v>
      </c>
      <c r="K335" s="53" t="s">
        <v>1593</v>
      </c>
      <c r="L335" s="57" t="s">
        <v>22</v>
      </c>
      <c r="M335" s="8">
        <f>COUNTIF($B$1:$B$1191, B335)</f>
        <v>11</v>
      </c>
      <c r="N335" s="8">
        <f>COUNTIF($H$2:$H$1181, H335)</f>
        <v>66</v>
      </c>
    </row>
    <row r="336" spans="1:14">
      <c r="A336" s="52" t="s">
        <v>1594</v>
      </c>
      <c r="B336" s="53" t="s">
        <v>1595</v>
      </c>
      <c r="C336" s="53" t="s">
        <v>1596</v>
      </c>
      <c r="D336" s="54">
        <v>153.58000000000001</v>
      </c>
      <c r="E336" s="54">
        <v>493.64</v>
      </c>
      <c r="F336" s="53">
        <v>20</v>
      </c>
      <c r="G336" s="55">
        <f>E336/F336</f>
        <v>24.681999999999999</v>
      </c>
      <c r="H336" s="56" t="s">
        <v>1372</v>
      </c>
      <c r="I336" s="53" t="s">
        <v>1597</v>
      </c>
      <c r="J336" s="53" t="s">
        <v>1598</v>
      </c>
      <c r="K336" s="53" t="s">
        <v>1599</v>
      </c>
      <c r="L336" s="57" t="s">
        <v>153</v>
      </c>
      <c r="M336" s="8">
        <f>COUNTIF($B$1:$B$1191, B336)</f>
        <v>1</v>
      </c>
      <c r="N336" s="8">
        <f>COUNTIF($H$2:$H$1181, H336)</f>
        <v>66</v>
      </c>
    </row>
    <row r="337" spans="1:14">
      <c r="A337" s="52" t="s">
        <v>1600</v>
      </c>
      <c r="B337" s="53" t="s">
        <v>606</v>
      </c>
      <c r="C337" s="53" t="s">
        <v>607</v>
      </c>
      <c r="D337" s="54">
        <v>137.12</v>
      </c>
      <c r="E337" s="54">
        <v>137.12</v>
      </c>
      <c r="F337" s="53">
        <v>1</v>
      </c>
      <c r="G337" s="55">
        <f>E337/F337</f>
        <v>137.12</v>
      </c>
      <c r="H337" s="56" t="s">
        <v>1372</v>
      </c>
      <c r="I337" s="53" t="s">
        <v>1601</v>
      </c>
      <c r="J337" s="53" t="s">
        <v>1602</v>
      </c>
      <c r="K337" s="53" t="s">
        <v>1603</v>
      </c>
      <c r="L337" s="57" t="s">
        <v>22</v>
      </c>
      <c r="M337" s="8">
        <f>COUNTIF($B$1:$B$1191, B337)</f>
        <v>6</v>
      </c>
      <c r="N337" s="8">
        <f>COUNTIF($H$2:$H$1181, H337)</f>
        <v>66</v>
      </c>
    </row>
    <row r="338" spans="1:14">
      <c r="A338" s="52" t="s">
        <v>1604</v>
      </c>
      <c r="B338" s="53" t="s">
        <v>1605</v>
      </c>
      <c r="C338" s="53" t="s">
        <v>1606</v>
      </c>
      <c r="D338" s="54">
        <v>104.21</v>
      </c>
      <c r="E338" s="54">
        <v>104.21</v>
      </c>
      <c r="F338" s="53">
        <v>1</v>
      </c>
      <c r="G338" s="55">
        <f>E338/F338</f>
        <v>104.21</v>
      </c>
      <c r="H338" s="56" t="s">
        <v>1372</v>
      </c>
      <c r="I338" s="53" t="s">
        <v>1607</v>
      </c>
      <c r="J338" s="53" t="s">
        <v>1608</v>
      </c>
      <c r="K338" s="53" t="s">
        <v>1609</v>
      </c>
      <c r="L338" s="57" t="s">
        <v>22</v>
      </c>
      <c r="M338" s="8">
        <f>COUNTIF($B$1:$B$1191, B338)</f>
        <v>3</v>
      </c>
      <c r="N338" s="8">
        <f>COUNTIF($H$2:$H$1181, H338)</f>
        <v>66</v>
      </c>
    </row>
    <row r="339" spans="1:14">
      <c r="A339" s="52" t="s">
        <v>1610</v>
      </c>
      <c r="B339" s="53" t="s">
        <v>1611</v>
      </c>
      <c r="C339" s="53" t="s">
        <v>1612</v>
      </c>
      <c r="D339" s="54">
        <v>98.73</v>
      </c>
      <c r="E339" s="54">
        <v>98.73</v>
      </c>
      <c r="F339" s="53">
        <v>1</v>
      </c>
      <c r="G339" s="55">
        <f>E339/F339</f>
        <v>98.73</v>
      </c>
      <c r="H339" s="56" t="s">
        <v>1372</v>
      </c>
      <c r="I339" s="53" t="s">
        <v>1613</v>
      </c>
      <c r="J339" s="53" t="s">
        <v>1614</v>
      </c>
      <c r="K339" s="53" t="s">
        <v>1615</v>
      </c>
      <c r="L339" s="57" t="s">
        <v>22</v>
      </c>
      <c r="M339" s="8">
        <f>COUNTIF($B$1:$B$1191, B339)</f>
        <v>4</v>
      </c>
      <c r="N339" s="8">
        <f>COUNTIF($H$2:$H$1181, H339)</f>
        <v>66</v>
      </c>
    </row>
    <row r="340" spans="1:14">
      <c r="A340" s="52" t="s">
        <v>1616</v>
      </c>
      <c r="B340" s="53" t="s">
        <v>1617</v>
      </c>
      <c r="C340" s="53" t="s">
        <v>1618</v>
      </c>
      <c r="D340" s="54">
        <v>93.24</v>
      </c>
      <c r="E340" s="54">
        <v>93.24</v>
      </c>
      <c r="F340" s="53">
        <v>1</v>
      </c>
      <c r="G340" s="55">
        <f>E340/F340</f>
        <v>93.24</v>
      </c>
      <c r="H340" s="56" t="s">
        <v>1372</v>
      </c>
      <c r="I340" s="53" t="s">
        <v>1619</v>
      </c>
      <c r="J340" s="53" t="s">
        <v>1620</v>
      </c>
      <c r="K340" s="53" t="s">
        <v>1621</v>
      </c>
      <c r="L340" s="57" t="s">
        <v>22</v>
      </c>
      <c r="M340" s="8">
        <f>COUNTIF($B$1:$B$1191, B340)</f>
        <v>1</v>
      </c>
      <c r="N340" s="8">
        <f>COUNTIF($H$2:$H$1181, H340)</f>
        <v>66</v>
      </c>
    </row>
    <row r="341" spans="1:14">
      <c r="A341" s="52" t="s">
        <v>1622</v>
      </c>
      <c r="B341" s="53" t="s">
        <v>813</v>
      </c>
      <c r="C341" s="53" t="s">
        <v>814</v>
      </c>
      <c r="D341" s="54">
        <v>93.24</v>
      </c>
      <c r="E341" s="54">
        <v>93.24</v>
      </c>
      <c r="F341" s="53">
        <v>1</v>
      </c>
      <c r="G341" s="55">
        <f>E341/F341</f>
        <v>93.24</v>
      </c>
      <c r="H341" s="56" t="s">
        <v>1372</v>
      </c>
      <c r="I341" s="53" t="s">
        <v>1623</v>
      </c>
      <c r="J341" s="53" t="s">
        <v>1624</v>
      </c>
      <c r="K341" s="53" t="s">
        <v>1625</v>
      </c>
      <c r="L341" s="57" t="s">
        <v>22</v>
      </c>
      <c r="M341" s="8">
        <f>COUNTIF($B$1:$B$1191, B341)</f>
        <v>6</v>
      </c>
      <c r="N341" s="8">
        <f>COUNTIF($H$2:$H$1181, H341)</f>
        <v>66</v>
      </c>
    </row>
    <row r="342" spans="1:14">
      <c r="A342" s="52" t="s">
        <v>1626</v>
      </c>
      <c r="B342" s="53" t="s">
        <v>1627</v>
      </c>
      <c r="C342" s="53" t="s">
        <v>1628</v>
      </c>
      <c r="D342" s="54">
        <v>87.76</v>
      </c>
      <c r="E342" s="54">
        <v>87.76</v>
      </c>
      <c r="F342" s="53">
        <v>1</v>
      </c>
      <c r="G342" s="55">
        <f>E342/F342</f>
        <v>87.76</v>
      </c>
      <c r="H342" s="56" t="s">
        <v>1372</v>
      </c>
      <c r="I342" s="53" t="s">
        <v>1629</v>
      </c>
      <c r="J342" s="53" t="s">
        <v>1630</v>
      </c>
      <c r="K342" s="53" t="s">
        <v>1631</v>
      </c>
      <c r="L342" s="57" t="s">
        <v>22</v>
      </c>
      <c r="M342" s="8">
        <f>COUNTIF($B$1:$B$1191, B342)</f>
        <v>1</v>
      </c>
      <c r="N342" s="8">
        <f>COUNTIF($H$2:$H$1181, H342)</f>
        <v>66</v>
      </c>
    </row>
    <row r="343" spans="1:14">
      <c r="A343" s="52" t="s">
        <v>1632</v>
      </c>
      <c r="B343" s="53" t="s">
        <v>1633</v>
      </c>
      <c r="C343" s="53" t="s">
        <v>1634</v>
      </c>
      <c r="D343" s="54">
        <v>82.27</v>
      </c>
      <c r="E343" s="54">
        <v>82.27</v>
      </c>
      <c r="F343" s="53">
        <v>1</v>
      </c>
      <c r="G343" s="55">
        <f>E343/F343</f>
        <v>82.27</v>
      </c>
      <c r="H343" s="56" t="s">
        <v>1372</v>
      </c>
      <c r="I343" s="53" t="s">
        <v>1635</v>
      </c>
      <c r="J343" s="53" t="s">
        <v>1636</v>
      </c>
      <c r="K343" s="53" t="s">
        <v>1637</v>
      </c>
      <c r="L343" s="57" t="s">
        <v>22</v>
      </c>
      <c r="M343" s="8">
        <f>COUNTIF($B$1:$B$1191, B343)</f>
        <v>1</v>
      </c>
      <c r="N343" s="8">
        <f>COUNTIF($H$2:$H$1181, H343)</f>
        <v>66</v>
      </c>
    </row>
    <row r="344" spans="1:14">
      <c r="A344" s="52" t="s">
        <v>1638</v>
      </c>
      <c r="B344" s="53" t="s">
        <v>1639</v>
      </c>
      <c r="C344" s="53" t="s">
        <v>1640</v>
      </c>
      <c r="D344" s="54">
        <v>71.3</v>
      </c>
      <c r="E344" s="54">
        <v>71.3</v>
      </c>
      <c r="F344" s="53">
        <v>1</v>
      </c>
      <c r="G344" s="55">
        <f>E344/F344</f>
        <v>71.3</v>
      </c>
      <c r="H344" s="56" t="s">
        <v>1372</v>
      </c>
      <c r="I344" s="53" t="s">
        <v>1641</v>
      </c>
      <c r="J344" s="53" t="s">
        <v>1642</v>
      </c>
      <c r="K344" s="53" t="s">
        <v>1643</v>
      </c>
      <c r="L344" s="57" t="s">
        <v>22</v>
      </c>
      <c r="M344" s="8">
        <f>COUNTIF($B$1:$B$1191, B344)</f>
        <v>1</v>
      </c>
      <c r="N344" s="8">
        <f>COUNTIF($H$2:$H$1181, H344)</f>
        <v>66</v>
      </c>
    </row>
    <row r="345" spans="1:14">
      <c r="A345" s="52" t="s">
        <v>1644</v>
      </c>
      <c r="B345" s="53" t="s">
        <v>455</v>
      </c>
      <c r="C345" s="53" t="s">
        <v>456</v>
      </c>
      <c r="D345" s="54">
        <v>65.819999999999993</v>
      </c>
      <c r="E345" s="54">
        <v>65.819999999999993</v>
      </c>
      <c r="F345" s="53">
        <v>1</v>
      </c>
      <c r="G345" s="55">
        <f>E345/F345</f>
        <v>65.819999999999993</v>
      </c>
      <c r="H345" s="56" t="s">
        <v>1372</v>
      </c>
      <c r="I345" s="53" t="s">
        <v>1645</v>
      </c>
      <c r="J345" s="53" t="s">
        <v>1646</v>
      </c>
      <c r="K345" s="53" t="s">
        <v>1647</v>
      </c>
      <c r="L345" s="57" t="s">
        <v>22</v>
      </c>
      <c r="M345" s="8">
        <f>COUNTIF($B$1:$B$1191, B345)</f>
        <v>7</v>
      </c>
      <c r="N345" s="8">
        <f>COUNTIF($H$2:$H$1181, H345)</f>
        <v>66</v>
      </c>
    </row>
    <row r="346" spans="1:14">
      <c r="A346" s="52" t="s">
        <v>1648</v>
      </c>
      <c r="B346" s="53" t="s">
        <v>1649</v>
      </c>
      <c r="C346" s="53" t="s">
        <v>1650</v>
      </c>
      <c r="D346" s="54">
        <v>52.11</v>
      </c>
      <c r="E346" s="54">
        <v>52.11</v>
      </c>
      <c r="F346" s="53">
        <v>1</v>
      </c>
      <c r="G346" s="55">
        <f>E346/F346</f>
        <v>52.11</v>
      </c>
      <c r="H346" s="56" t="s">
        <v>1372</v>
      </c>
      <c r="I346" s="53" t="s">
        <v>1651</v>
      </c>
      <c r="J346" s="53" t="s">
        <v>1652</v>
      </c>
      <c r="K346" s="53" t="s">
        <v>1653</v>
      </c>
      <c r="L346" s="57" t="s">
        <v>22</v>
      </c>
      <c r="M346" s="8">
        <f>COUNTIF($B$1:$B$1191, B346)</f>
        <v>1</v>
      </c>
      <c r="N346" s="8">
        <f>COUNTIF($H$2:$H$1181, H346)</f>
        <v>66</v>
      </c>
    </row>
    <row r="347" spans="1:14">
      <c r="A347" s="52" t="s">
        <v>1654</v>
      </c>
      <c r="B347" s="53" t="s">
        <v>1655</v>
      </c>
      <c r="C347" s="53" t="s">
        <v>1656</v>
      </c>
      <c r="D347" s="54">
        <v>137.12</v>
      </c>
      <c r="E347" s="54">
        <v>137.12</v>
      </c>
      <c r="F347" s="53">
        <v>1</v>
      </c>
      <c r="G347" s="55">
        <f>E347/F347</f>
        <v>137.12</v>
      </c>
      <c r="H347" s="56" t="s">
        <v>1372</v>
      </c>
      <c r="I347" s="53" t="s">
        <v>1657</v>
      </c>
      <c r="J347" s="53" t="s">
        <v>1658</v>
      </c>
      <c r="K347" s="53" t="s">
        <v>1659</v>
      </c>
      <c r="L347" s="57" t="s">
        <v>22</v>
      </c>
      <c r="M347" s="8">
        <f>COUNTIF($B$1:$B$1191, B347)</f>
        <v>4</v>
      </c>
      <c r="N347" s="8">
        <f>COUNTIF($H$2:$H$1181, H347)</f>
        <v>66</v>
      </c>
    </row>
    <row r="348" spans="1:14">
      <c r="A348" s="52" t="s">
        <v>1660</v>
      </c>
      <c r="B348" s="53" t="s">
        <v>1611</v>
      </c>
      <c r="C348" s="53" t="s">
        <v>1612</v>
      </c>
      <c r="D348" s="54">
        <v>98.73</v>
      </c>
      <c r="E348" s="54">
        <v>98.73</v>
      </c>
      <c r="F348" s="53">
        <v>1</v>
      </c>
      <c r="G348" s="55">
        <f>E348/F348</f>
        <v>98.73</v>
      </c>
      <c r="H348" s="56" t="s">
        <v>1372</v>
      </c>
      <c r="I348" s="53" t="s">
        <v>1661</v>
      </c>
      <c r="J348" s="53" t="s">
        <v>1662</v>
      </c>
      <c r="K348" s="53" t="s">
        <v>1663</v>
      </c>
      <c r="L348" s="57" t="s">
        <v>22</v>
      </c>
      <c r="M348" s="8">
        <f>COUNTIF($B$1:$B$1191, B348)</f>
        <v>4</v>
      </c>
      <c r="N348" s="8">
        <f>COUNTIF($H$2:$H$1181, H348)</f>
        <v>66</v>
      </c>
    </row>
    <row r="349" spans="1:14">
      <c r="A349" s="52" t="s">
        <v>1664</v>
      </c>
      <c r="B349" s="53" t="s">
        <v>1665</v>
      </c>
      <c r="C349" s="53" t="s">
        <v>1666</v>
      </c>
      <c r="D349" s="54">
        <v>82.27</v>
      </c>
      <c r="E349" s="54">
        <v>137.12</v>
      </c>
      <c r="F349" s="53">
        <v>2</v>
      </c>
      <c r="G349" s="55">
        <f>E349/F349</f>
        <v>68.56</v>
      </c>
      <c r="H349" s="56" t="s">
        <v>1372</v>
      </c>
      <c r="I349" s="53" t="s">
        <v>1667</v>
      </c>
      <c r="J349" s="53" t="s">
        <v>1668</v>
      </c>
      <c r="K349" s="53" t="s">
        <v>1669</v>
      </c>
      <c r="L349" s="57" t="s">
        <v>22</v>
      </c>
      <c r="M349" s="8">
        <f>COUNTIF($B$1:$B$1191, B349)</f>
        <v>1</v>
      </c>
      <c r="N349" s="8">
        <f>COUNTIF($H$2:$H$1181, H349)</f>
        <v>66</v>
      </c>
    </row>
    <row r="350" spans="1:14">
      <c r="A350" s="52" t="s">
        <v>1670</v>
      </c>
      <c r="B350" s="53" t="s">
        <v>1655</v>
      </c>
      <c r="C350" s="53" t="s">
        <v>1656</v>
      </c>
      <c r="D350" s="54">
        <v>137.12</v>
      </c>
      <c r="E350" s="54">
        <v>137.12</v>
      </c>
      <c r="F350" s="53">
        <v>1</v>
      </c>
      <c r="G350" s="55">
        <f>E350/F350</f>
        <v>137.12</v>
      </c>
      <c r="H350" s="56" t="s">
        <v>1372</v>
      </c>
      <c r="I350" s="53" t="s">
        <v>1671</v>
      </c>
      <c r="J350" s="53" t="s">
        <v>1672</v>
      </c>
      <c r="K350" s="53" t="s">
        <v>1673</v>
      </c>
      <c r="L350" s="57" t="s">
        <v>22</v>
      </c>
      <c r="M350" s="8">
        <f>COUNTIF($B$1:$B$1191, B350)</f>
        <v>4</v>
      </c>
      <c r="N350" s="8">
        <f>COUNTIF($H$2:$H$1181, H350)</f>
        <v>66</v>
      </c>
    </row>
    <row r="351" spans="1:14">
      <c r="A351" s="52" t="s">
        <v>1674</v>
      </c>
      <c r="B351" s="53" t="s">
        <v>1655</v>
      </c>
      <c r="C351" s="53" t="s">
        <v>1656</v>
      </c>
      <c r="D351" s="54">
        <v>137.12</v>
      </c>
      <c r="E351" s="54">
        <v>137.12</v>
      </c>
      <c r="F351" s="53">
        <v>1</v>
      </c>
      <c r="G351" s="55">
        <f>E351/F351</f>
        <v>137.12</v>
      </c>
      <c r="H351" s="56" t="s">
        <v>1372</v>
      </c>
      <c r="I351" s="53" t="s">
        <v>1675</v>
      </c>
      <c r="J351" s="53" t="s">
        <v>1676</v>
      </c>
      <c r="K351" s="53" t="s">
        <v>1677</v>
      </c>
      <c r="L351" s="57" t="s">
        <v>22</v>
      </c>
      <c r="M351" s="8">
        <f>COUNTIF($B$1:$B$1191, B351)</f>
        <v>4</v>
      </c>
      <c r="N351" s="8">
        <f>COUNTIF($H$2:$H$1181, H351)</f>
        <v>66</v>
      </c>
    </row>
    <row r="352" spans="1:14">
      <c r="A352" s="52" t="s">
        <v>1678</v>
      </c>
      <c r="B352" s="53" t="s">
        <v>789</v>
      </c>
      <c r="C352" s="53" t="s">
        <v>790</v>
      </c>
      <c r="D352" s="54">
        <v>93.24</v>
      </c>
      <c r="E352" s="54">
        <v>104.21</v>
      </c>
      <c r="F352" s="53">
        <v>2</v>
      </c>
      <c r="G352" s="55">
        <f>E352/F352</f>
        <v>52.104999999999997</v>
      </c>
      <c r="H352" s="56" t="s">
        <v>896</v>
      </c>
      <c r="I352" s="53" t="s">
        <v>1679</v>
      </c>
      <c r="J352" s="53" t="s">
        <v>1680</v>
      </c>
      <c r="K352" s="53" t="s">
        <v>1681</v>
      </c>
      <c r="L352" s="57" t="s">
        <v>22</v>
      </c>
      <c r="M352" s="8">
        <f>COUNTIF($B$1:$B$1191, B352)</f>
        <v>3</v>
      </c>
      <c r="N352" s="8">
        <f>COUNTIF($H$2:$H$1181, H352)</f>
        <v>37</v>
      </c>
    </row>
    <row r="353" spans="1:14">
      <c r="A353" s="52" t="s">
        <v>1682</v>
      </c>
      <c r="B353" s="53" t="s">
        <v>438</v>
      </c>
      <c r="C353" s="53" t="s">
        <v>439</v>
      </c>
      <c r="D353" s="54">
        <v>87.76</v>
      </c>
      <c r="E353" s="54">
        <v>98.73</v>
      </c>
      <c r="F353" s="53">
        <v>2</v>
      </c>
      <c r="G353" s="55">
        <f>E353/F353</f>
        <v>49.365000000000002</v>
      </c>
      <c r="H353" s="56" t="s">
        <v>896</v>
      </c>
      <c r="I353" s="53" t="s">
        <v>1683</v>
      </c>
      <c r="J353" s="53" t="s">
        <v>1684</v>
      </c>
      <c r="K353" s="53" t="s">
        <v>1685</v>
      </c>
      <c r="L353" s="57" t="s">
        <v>22</v>
      </c>
      <c r="M353" s="8">
        <f>COUNTIF($B$1:$B$1191, B353)</f>
        <v>14</v>
      </c>
      <c r="N353" s="8">
        <f>COUNTIF($H$2:$H$1181, H353)</f>
        <v>37</v>
      </c>
    </row>
    <row r="354" spans="1:14">
      <c r="A354" s="52" t="s">
        <v>1686</v>
      </c>
      <c r="B354" s="53" t="s">
        <v>1058</v>
      </c>
      <c r="C354" s="53" t="s">
        <v>1059</v>
      </c>
      <c r="D354" s="54">
        <v>120.67</v>
      </c>
      <c r="E354" s="54">
        <v>131.63999999999999</v>
      </c>
      <c r="F354" s="53">
        <v>2</v>
      </c>
      <c r="G354" s="55">
        <f>E354/F354</f>
        <v>65.819999999999993</v>
      </c>
      <c r="H354" s="56" t="s">
        <v>896</v>
      </c>
      <c r="I354" s="53" t="s">
        <v>1687</v>
      </c>
      <c r="J354" s="53" t="s">
        <v>1688</v>
      </c>
      <c r="K354" s="53" t="s">
        <v>1689</v>
      </c>
      <c r="L354" s="57" t="s">
        <v>22</v>
      </c>
      <c r="M354" s="8">
        <f>COUNTIF($B$1:$B$1191, B354)</f>
        <v>2</v>
      </c>
      <c r="N354" s="8">
        <f>COUNTIF($H$2:$H$1181, H354)</f>
        <v>37</v>
      </c>
    </row>
    <row r="355" spans="1:14">
      <c r="A355" s="52" t="s">
        <v>1690</v>
      </c>
      <c r="B355" s="53" t="s">
        <v>1691</v>
      </c>
      <c r="C355" s="53" t="s">
        <v>1692</v>
      </c>
      <c r="D355" s="54">
        <v>93.24</v>
      </c>
      <c r="E355" s="54">
        <v>543.01</v>
      </c>
      <c r="F355" s="53">
        <v>20</v>
      </c>
      <c r="G355" s="55">
        <f>E355/F355</f>
        <v>27.150500000000001</v>
      </c>
      <c r="H355" s="56" t="s">
        <v>896</v>
      </c>
      <c r="I355" s="53" t="s">
        <v>1693</v>
      </c>
      <c r="J355" s="53" t="s">
        <v>1694</v>
      </c>
      <c r="K355" s="53" t="s">
        <v>1695</v>
      </c>
      <c r="L355" s="57" t="s">
        <v>22</v>
      </c>
      <c r="M355" s="8">
        <f>COUNTIF($B$1:$B$1191, B355)</f>
        <v>1</v>
      </c>
      <c r="N355" s="8">
        <f>COUNTIF($H$2:$H$1181, H355)</f>
        <v>37</v>
      </c>
    </row>
    <row r="356" spans="1:14">
      <c r="A356" s="52" t="s">
        <v>1696</v>
      </c>
      <c r="B356" s="53" t="s">
        <v>1697</v>
      </c>
      <c r="C356" s="53" t="s">
        <v>1697</v>
      </c>
      <c r="D356" s="54">
        <v>137.12</v>
      </c>
      <c r="E356" s="54">
        <v>137.12</v>
      </c>
      <c r="F356" s="53">
        <v>1</v>
      </c>
      <c r="G356" s="55">
        <f>E356/F356</f>
        <v>137.12</v>
      </c>
      <c r="H356" s="56" t="s">
        <v>896</v>
      </c>
      <c r="I356" s="53" t="s">
        <v>1698</v>
      </c>
      <c r="J356" s="53" t="s">
        <v>1699</v>
      </c>
      <c r="K356" s="53" t="s">
        <v>1700</v>
      </c>
      <c r="L356" s="57" t="s">
        <v>22</v>
      </c>
      <c r="M356" s="8">
        <f>COUNTIF($B$1:$B$1191, B356)</f>
        <v>2</v>
      </c>
      <c r="N356" s="8">
        <f>COUNTIF($H$2:$H$1181, H356)</f>
        <v>37</v>
      </c>
    </row>
    <row r="357" spans="1:14">
      <c r="A357" s="52" t="s">
        <v>1701</v>
      </c>
      <c r="B357" s="53" t="s">
        <v>962</v>
      </c>
      <c r="C357" s="53" t="s">
        <v>962</v>
      </c>
      <c r="D357" s="54">
        <v>5479.45</v>
      </c>
      <c r="E357" s="54">
        <v>5479.45</v>
      </c>
      <c r="F357" s="53">
        <v>4</v>
      </c>
      <c r="G357" s="55">
        <f>E357/F357</f>
        <v>1369.8625</v>
      </c>
      <c r="H357" s="56" t="s">
        <v>896</v>
      </c>
      <c r="I357" s="53"/>
      <c r="J357" s="53" t="s">
        <v>1702</v>
      </c>
      <c r="K357" s="53"/>
      <c r="L357" s="57" t="s">
        <v>22</v>
      </c>
      <c r="M357" s="8">
        <f>COUNTIF($B$1:$B$1191, B357)</f>
        <v>28</v>
      </c>
      <c r="N357" s="8">
        <f>COUNTIF($H$2:$H$1181, H357)</f>
        <v>37</v>
      </c>
    </row>
    <row r="358" spans="1:14">
      <c r="A358" s="52" t="s">
        <v>1703</v>
      </c>
      <c r="B358" s="53" t="s">
        <v>523</v>
      </c>
      <c r="C358" s="53" t="s">
        <v>524</v>
      </c>
      <c r="D358" s="54">
        <v>137.12</v>
      </c>
      <c r="E358" s="54">
        <v>707.56</v>
      </c>
      <c r="F358" s="53">
        <v>18</v>
      </c>
      <c r="G358" s="55">
        <f>E358/F358</f>
        <v>39.308888888888887</v>
      </c>
      <c r="H358" s="56" t="s">
        <v>896</v>
      </c>
      <c r="I358" s="53" t="s">
        <v>1704</v>
      </c>
      <c r="J358" s="53" t="s">
        <v>1705</v>
      </c>
      <c r="K358" s="53" t="s">
        <v>1706</v>
      </c>
      <c r="L358" s="57" t="s">
        <v>22</v>
      </c>
      <c r="M358" s="8">
        <f>COUNTIF($B$1:$B$1191, B358)</f>
        <v>2</v>
      </c>
      <c r="N358" s="8">
        <f>COUNTIF($H$2:$H$1181, H358)</f>
        <v>37</v>
      </c>
    </row>
    <row r="359" spans="1:14">
      <c r="A359" s="52" t="s">
        <v>1707</v>
      </c>
      <c r="B359" s="53" t="s">
        <v>379</v>
      </c>
      <c r="C359" s="53" t="s">
        <v>379</v>
      </c>
      <c r="D359" s="54">
        <v>115.18</v>
      </c>
      <c r="E359" s="54">
        <v>115.18</v>
      </c>
      <c r="F359" s="53">
        <v>2</v>
      </c>
      <c r="G359" s="55">
        <f>E359/F359</f>
        <v>57.59</v>
      </c>
      <c r="H359" s="56" t="s">
        <v>896</v>
      </c>
      <c r="I359" s="53" t="s">
        <v>1708</v>
      </c>
      <c r="J359" s="53" t="s">
        <v>1709</v>
      </c>
      <c r="K359" s="53" t="s">
        <v>1710</v>
      </c>
      <c r="L359" s="57" t="s">
        <v>22</v>
      </c>
      <c r="M359" s="8">
        <f>COUNTIF($B$1:$B$1191, B359)</f>
        <v>19</v>
      </c>
      <c r="N359" s="8">
        <f>COUNTIF($H$2:$H$1181, H359)</f>
        <v>37</v>
      </c>
    </row>
    <row r="360" spans="1:14">
      <c r="A360" s="52" t="s">
        <v>1711</v>
      </c>
      <c r="B360" s="53" t="s">
        <v>1032</v>
      </c>
      <c r="C360" s="53" t="s">
        <v>1033</v>
      </c>
      <c r="D360" s="54">
        <v>87.76</v>
      </c>
      <c r="E360" s="54">
        <v>98.73</v>
      </c>
      <c r="F360" s="53">
        <v>2</v>
      </c>
      <c r="G360" s="55">
        <f>E360/F360</f>
        <v>49.365000000000002</v>
      </c>
      <c r="H360" s="56" t="s">
        <v>896</v>
      </c>
      <c r="I360" s="53" t="s">
        <v>1712</v>
      </c>
      <c r="J360" s="53" t="s">
        <v>1713</v>
      </c>
      <c r="K360" s="53" t="s">
        <v>1714</v>
      </c>
      <c r="L360" s="57" t="s">
        <v>22</v>
      </c>
      <c r="M360" s="8">
        <f>COUNTIF($B$1:$B$1191, B360)</f>
        <v>3</v>
      </c>
      <c r="N360" s="8">
        <f>COUNTIF($H$2:$H$1181, H360)</f>
        <v>37</v>
      </c>
    </row>
    <row r="361" spans="1:14">
      <c r="A361" s="52" t="s">
        <v>1715</v>
      </c>
      <c r="B361" s="53" t="s">
        <v>1716</v>
      </c>
      <c r="C361" s="53" t="s">
        <v>1717</v>
      </c>
      <c r="D361" s="54">
        <v>82.27</v>
      </c>
      <c r="E361" s="54">
        <v>164.55</v>
      </c>
      <c r="F361" s="53">
        <v>6</v>
      </c>
      <c r="G361" s="55">
        <f>E361/F361</f>
        <v>27.425000000000001</v>
      </c>
      <c r="H361" s="56" t="s">
        <v>896</v>
      </c>
      <c r="I361" s="53" t="s">
        <v>1718</v>
      </c>
      <c r="J361" s="53" t="s">
        <v>1719</v>
      </c>
      <c r="K361" s="53" t="s">
        <v>1720</v>
      </c>
      <c r="L361" s="57" t="s">
        <v>22</v>
      </c>
      <c r="M361" s="8">
        <f>COUNTIF($B$1:$B$1191, B361)</f>
        <v>1</v>
      </c>
      <c r="N361" s="8">
        <f>COUNTIF($H$2:$H$1181, H361)</f>
        <v>37</v>
      </c>
    </row>
    <row r="362" spans="1:14">
      <c r="A362" s="52" t="s">
        <v>1721</v>
      </c>
      <c r="B362" s="53" t="s">
        <v>1722</v>
      </c>
      <c r="C362" s="53" t="s">
        <v>1723</v>
      </c>
      <c r="D362" s="54">
        <v>65.819999999999993</v>
      </c>
      <c r="E362" s="54">
        <v>394.92</v>
      </c>
      <c r="F362" s="53">
        <v>8</v>
      </c>
      <c r="G362" s="55">
        <f>E362/F362</f>
        <v>49.365000000000002</v>
      </c>
      <c r="H362" s="56" t="s">
        <v>896</v>
      </c>
      <c r="I362" s="53" t="s">
        <v>1724</v>
      </c>
      <c r="J362" s="53" t="s">
        <v>1725</v>
      </c>
      <c r="K362" s="53" t="s">
        <v>1726</v>
      </c>
      <c r="L362" s="57" t="s">
        <v>22</v>
      </c>
      <c r="M362" s="8">
        <f>COUNTIF($B$1:$B$1191, B362)</f>
        <v>1</v>
      </c>
      <c r="N362" s="8">
        <f>COUNTIF($H$2:$H$1181, H362)</f>
        <v>37</v>
      </c>
    </row>
    <row r="363" spans="1:14">
      <c r="A363" s="52" t="s">
        <v>1727</v>
      </c>
      <c r="B363" s="53" t="s">
        <v>216</v>
      </c>
      <c r="C363" s="53" t="s">
        <v>217</v>
      </c>
      <c r="D363" s="54">
        <v>54.85</v>
      </c>
      <c r="E363" s="54">
        <v>658.19</v>
      </c>
      <c r="F363" s="53">
        <v>18</v>
      </c>
      <c r="G363" s="55">
        <f>E363/F363</f>
        <v>36.566111111111113</v>
      </c>
      <c r="H363" s="56" t="s">
        <v>896</v>
      </c>
      <c r="I363" s="53" t="s">
        <v>1728</v>
      </c>
      <c r="J363" s="53" t="s">
        <v>1729</v>
      </c>
      <c r="K363" s="53" t="s">
        <v>1730</v>
      </c>
      <c r="L363" s="57" t="s">
        <v>22</v>
      </c>
      <c r="M363" s="8">
        <f>COUNTIF($B$1:$B$1191, B363)</f>
        <v>3</v>
      </c>
      <c r="N363" s="8">
        <f>COUNTIF($H$2:$H$1181, H363)</f>
        <v>37</v>
      </c>
    </row>
    <row r="364" spans="1:14">
      <c r="A364" s="52" t="s">
        <v>1731</v>
      </c>
      <c r="B364" s="53" t="s">
        <v>1732</v>
      </c>
      <c r="C364" s="53" t="s">
        <v>1733</v>
      </c>
      <c r="D364" s="54">
        <v>93.24</v>
      </c>
      <c r="E364" s="54">
        <v>109.7</v>
      </c>
      <c r="F364" s="53">
        <v>2</v>
      </c>
      <c r="G364" s="55">
        <f>E364/F364</f>
        <v>54.85</v>
      </c>
      <c r="H364" s="56" t="s">
        <v>896</v>
      </c>
      <c r="I364" s="53" t="s">
        <v>1734</v>
      </c>
      <c r="J364" s="53" t="s">
        <v>1735</v>
      </c>
      <c r="K364" s="53" t="s">
        <v>1736</v>
      </c>
      <c r="L364" s="57" t="s">
        <v>22</v>
      </c>
      <c r="M364" s="8">
        <f>COUNTIF($B$1:$B$1191, B364)</f>
        <v>1</v>
      </c>
      <c r="N364" s="8">
        <f>COUNTIF($H$2:$H$1181, H364)</f>
        <v>37</v>
      </c>
    </row>
    <row r="365" spans="1:14">
      <c r="A365" s="52" t="s">
        <v>1737</v>
      </c>
      <c r="B365" s="53" t="s">
        <v>1017</v>
      </c>
      <c r="C365" s="53" t="s">
        <v>1017</v>
      </c>
      <c r="D365" s="54">
        <v>54.85</v>
      </c>
      <c r="E365" s="54">
        <v>98.73</v>
      </c>
      <c r="F365" s="53">
        <v>2</v>
      </c>
      <c r="G365" s="55">
        <f>E365/F365</f>
        <v>49.365000000000002</v>
      </c>
      <c r="H365" s="56" t="s">
        <v>896</v>
      </c>
      <c r="I365" s="53" t="s">
        <v>1738</v>
      </c>
      <c r="J365" s="53" t="s">
        <v>1739</v>
      </c>
      <c r="K365" s="53" t="s">
        <v>1740</v>
      </c>
      <c r="L365" s="57" t="s">
        <v>22</v>
      </c>
      <c r="M365" s="8">
        <f>COUNTIF($B$1:$B$1191, B365)</f>
        <v>3</v>
      </c>
      <c r="N365" s="8">
        <f>COUNTIF($H$2:$H$1181, H365)</f>
        <v>37</v>
      </c>
    </row>
    <row r="366" spans="1:14">
      <c r="A366" s="58" t="s">
        <v>1741</v>
      </c>
      <c r="B366" s="59" t="s">
        <v>1742</v>
      </c>
      <c r="C366" s="59" t="s">
        <v>1743</v>
      </c>
      <c r="D366" s="60">
        <v>535.41</v>
      </c>
      <c r="E366" s="60">
        <v>1065.3599999999999</v>
      </c>
      <c r="F366" s="59">
        <v>2</v>
      </c>
      <c r="G366" s="61">
        <f>E366/F366</f>
        <v>532.67999999999995</v>
      </c>
      <c r="H366" s="62" t="s">
        <v>1744</v>
      </c>
      <c r="I366" s="59"/>
      <c r="J366" s="59" t="s">
        <v>1745</v>
      </c>
      <c r="K366" s="59"/>
      <c r="L366" s="63" t="s">
        <v>22</v>
      </c>
      <c r="M366" s="8">
        <f>COUNTIF($B$1:$B$1191, B366)</f>
        <v>6</v>
      </c>
      <c r="N366" s="8">
        <f>COUNTIF($H$2:$H$1181, H366)</f>
        <v>11</v>
      </c>
    </row>
    <row r="367" spans="1:14">
      <c r="A367" s="52" t="s">
        <v>1746</v>
      </c>
      <c r="B367" s="53" t="s">
        <v>1742</v>
      </c>
      <c r="C367" s="53" t="s">
        <v>1743</v>
      </c>
      <c r="D367" s="54">
        <v>213.07</v>
      </c>
      <c r="E367" s="54">
        <v>1065.3599999999999</v>
      </c>
      <c r="F367" s="53">
        <v>6</v>
      </c>
      <c r="G367" s="55">
        <f>E367/F367</f>
        <v>177.55999999999997</v>
      </c>
      <c r="H367" s="56" t="s">
        <v>1744</v>
      </c>
      <c r="I367" s="53"/>
      <c r="J367" s="53" t="s">
        <v>1747</v>
      </c>
      <c r="K367" s="53"/>
      <c r="L367" s="57" t="s">
        <v>22</v>
      </c>
      <c r="M367" s="8">
        <f>COUNTIF($B$1:$B$1191, B367)</f>
        <v>6</v>
      </c>
      <c r="N367" s="8">
        <f>COUNTIF($H$2:$H$1181, H367)</f>
        <v>11</v>
      </c>
    </row>
    <row r="368" spans="1:14">
      <c r="A368" s="58" t="s">
        <v>1748</v>
      </c>
      <c r="B368" s="59" t="s">
        <v>1742</v>
      </c>
      <c r="C368" s="59" t="s">
        <v>1743</v>
      </c>
      <c r="D368" s="60">
        <v>535.41</v>
      </c>
      <c r="E368" s="60">
        <v>1065.3599999999999</v>
      </c>
      <c r="F368" s="59">
        <v>2</v>
      </c>
      <c r="G368" s="61">
        <f>E368/F368</f>
        <v>532.67999999999995</v>
      </c>
      <c r="H368" s="62" t="s">
        <v>1744</v>
      </c>
      <c r="I368" s="59"/>
      <c r="J368" s="59" t="s">
        <v>1749</v>
      </c>
      <c r="K368" s="59"/>
      <c r="L368" s="63" t="s">
        <v>22</v>
      </c>
      <c r="M368" s="8">
        <f>COUNTIF($B$1:$B$1191, B368)</f>
        <v>6</v>
      </c>
      <c r="N368" s="8">
        <f>COUNTIF($H$2:$H$1181, H368)</f>
        <v>11</v>
      </c>
    </row>
    <row r="369" spans="1:14">
      <c r="A369" s="52" t="s">
        <v>1750</v>
      </c>
      <c r="B369" s="53" t="s">
        <v>1742</v>
      </c>
      <c r="C369" s="53" t="s">
        <v>1743</v>
      </c>
      <c r="D369" s="54">
        <v>213.07</v>
      </c>
      <c r="E369" s="54">
        <v>1065.3599999999999</v>
      </c>
      <c r="F369" s="53">
        <v>6</v>
      </c>
      <c r="G369" s="55">
        <f>E369/F369</f>
        <v>177.55999999999997</v>
      </c>
      <c r="H369" s="56" t="s">
        <v>1744</v>
      </c>
      <c r="I369" s="53"/>
      <c r="J369" s="53" t="s">
        <v>1751</v>
      </c>
      <c r="K369" s="53"/>
      <c r="L369" s="57" t="s">
        <v>22</v>
      </c>
      <c r="M369" s="8">
        <f>COUNTIF($B$1:$B$1191, B369)</f>
        <v>6</v>
      </c>
      <c r="N369" s="8">
        <f>COUNTIF($H$2:$H$1181, H369)</f>
        <v>11</v>
      </c>
    </row>
    <row r="370" spans="1:14">
      <c r="A370" s="58" t="s">
        <v>1752</v>
      </c>
      <c r="B370" s="59" t="s">
        <v>1742</v>
      </c>
      <c r="C370" s="59" t="s">
        <v>1743</v>
      </c>
      <c r="D370" s="60">
        <v>213.07</v>
      </c>
      <c r="E370" s="60">
        <v>639.22</v>
      </c>
      <c r="F370" s="59">
        <v>3</v>
      </c>
      <c r="G370" s="61">
        <f>E370/F370</f>
        <v>213.07333333333335</v>
      </c>
      <c r="H370" s="62" t="s">
        <v>1744</v>
      </c>
      <c r="I370" s="59"/>
      <c r="J370" s="59" t="s">
        <v>1753</v>
      </c>
      <c r="K370" s="59"/>
      <c r="L370" s="63" t="s">
        <v>22</v>
      </c>
      <c r="M370" s="8">
        <f>COUNTIF($B$1:$B$1191, B370)</f>
        <v>6</v>
      </c>
      <c r="N370" s="8">
        <f>COUNTIF($H$2:$H$1181, H370)</f>
        <v>11</v>
      </c>
    </row>
    <row r="371" spans="1:14">
      <c r="A371" s="32" t="s">
        <v>1754</v>
      </c>
      <c r="B371" s="26" t="s">
        <v>1755</v>
      </c>
      <c r="C371" s="26" t="s">
        <v>1756</v>
      </c>
      <c r="D371" s="33">
        <v>60.1</v>
      </c>
      <c r="E371" s="33">
        <v>60.1</v>
      </c>
      <c r="F371" s="26">
        <v>1</v>
      </c>
      <c r="G371" s="35">
        <f>E371/F371</f>
        <v>60.1</v>
      </c>
      <c r="H371" s="37" t="s">
        <v>1757</v>
      </c>
      <c r="I371" s="26" t="s">
        <v>1758</v>
      </c>
      <c r="J371" s="26" t="s">
        <v>1759</v>
      </c>
      <c r="K371" s="26" t="s">
        <v>1760</v>
      </c>
      <c r="L371" s="39" t="s">
        <v>22</v>
      </c>
      <c r="M371" s="8">
        <f>COUNTIF($B$1:$B$1191, B371)</f>
        <v>3</v>
      </c>
      <c r="N371" s="8">
        <f>COUNTIF($H$2:$H$1181, H371)</f>
        <v>1</v>
      </c>
    </row>
    <row r="372" spans="1:14">
      <c r="A372" s="29" t="s">
        <v>1761</v>
      </c>
      <c r="B372" s="30" t="s">
        <v>1762</v>
      </c>
      <c r="C372" s="30" t="s">
        <v>1763</v>
      </c>
      <c r="D372" s="31">
        <v>65.56</v>
      </c>
      <c r="E372" s="31">
        <v>792.19</v>
      </c>
      <c r="F372" s="30">
        <v>27</v>
      </c>
      <c r="G372" s="34">
        <f>E372/F372</f>
        <v>29.340370370370373</v>
      </c>
      <c r="H372" s="36" t="s">
        <v>1298</v>
      </c>
      <c r="I372" s="30" t="s">
        <v>1764</v>
      </c>
      <c r="J372" s="30" t="s">
        <v>1765</v>
      </c>
      <c r="K372" s="30" t="s">
        <v>1766</v>
      </c>
      <c r="L372" s="38" t="s">
        <v>153</v>
      </c>
      <c r="M372" s="8">
        <f>COUNTIF($B$1:$B$1191, B372)</f>
        <v>2</v>
      </c>
      <c r="N372" s="8">
        <f>COUNTIF($H$2:$H$1181, H372)</f>
        <v>16</v>
      </c>
    </row>
    <row r="373" spans="1:14">
      <c r="A373" s="29" t="s">
        <v>1767</v>
      </c>
      <c r="B373" s="30" t="s">
        <v>1032</v>
      </c>
      <c r="C373" s="30" t="s">
        <v>1033</v>
      </c>
      <c r="D373" s="31">
        <v>87.41</v>
      </c>
      <c r="E373" s="31">
        <v>98.34</v>
      </c>
      <c r="F373" s="30">
        <v>2</v>
      </c>
      <c r="G373" s="34">
        <f>E373/F373</f>
        <v>49.17</v>
      </c>
      <c r="H373" s="36" t="s">
        <v>896</v>
      </c>
      <c r="I373" s="30" t="s">
        <v>1768</v>
      </c>
      <c r="J373" s="30" t="s">
        <v>1769</v>
      </c>
      <c r="K373" s="30" t="s">
        <v>1770</v>
      </c>
      <c r="L373" s="38" t="s">
        <v>22</v>
      </c>
      <c r="M373" s="8">
        <f>COUNTIF($B$1:$B$1191, B373)</f>
        <v>3</v>
      </c>
      <c r="N373" s="8">
        <f>COUNTIF($H$2:$H$1181, H373)</f>
        <v>37</v>
      </c>
    </row>
    <row r="374" spans="1:14">
      <c r="A374" s="32" t="s">
        <v>1771</v>
      </c>
      <c r="B374" s="26" t="s">
        <v>1772</v>
      </c>
      <c r="C374" s="26" t="s">
        <v>1773</v>
      </c>
      <c r="D374" s="33">
        <v>87.41</v>
      </c>
      <c r="E374" s="33">
        <v>273.17</v>
      </c>
      <c r="F374" s="26">
        <v>10</v>
      </c>
      <c r="G374" s="35">
        <f>E374/F374</f>
        <v>27.317</v>
      </c>
      <c r="H374" s="37" t="s">
        <v>896</v>
      </c>
      <c r="I374" s="26" t="s">
        <v>1774</v>
      </c>
      <c r="J374" s="26" t="s">
        <v>1775</v>
      </c>
      <c r="K374" s="26" t="s">
        <v>1776</v>
      </c>
      <c r="L374" s="39" t="s">
        <v>22</v>
      </c>
      <c r="M374" s="8">
        <f>COUNTIF($B$1:$B$1191, B374)</f>
        <v>1</v>
      </c>
      <c r="N374" s="8">
        <f>COUNTIF($H$2:$H$1181, H374)</f>
        <v>37</v>
      </c>
    </row>
    <row r="375" spans="1:14">
      <c r="A375" s="29" t="s">
        <v>1777</v>
      </c>
      <c r="B375" s="30" t="s">
        <v>568</v>
      </c>
      <c r="C375" s="30" t="s">
        <v>569</v>
      </c>
      <c r="D375" s="31">
        <v>81.95</v>
      </c>
      <c r="E375" s="31">
        <v>81.95</v>
      </c>
      <c r="F375" s="30">
        <v>1</v>
      </c>
      <c r="G375" s="34">
        <f>E375/F375</f>
        <v>81.95</v>
      </c>
      <c r="H375" s="36" t="s">
        <v>896</v>
      </c>
      <c r="I375" s="30" t="s">
        <v>1778</v>
      </c>
      <c r="J375" s="30" t="s">
        <v>1779</v>
      </c>
      <c r="K375" s="30" t="s">
        <v>1780</v>
      </c>
      <c r="L375" s="38" t="s">
        <v>22</v>
      </c>
      <c r="M375" s="8">
        <f>COUNTIF($B$1:$B$1191, B375)</f>
        <v>7</v>
      </c>
      <c r="N375" s="8">
        <f>COUNTIF($H$2:$H$1181, H375)</f>
        <v>37</v>
      </c>
    </row>
    <row r="376" spans="1:14">
      <c r="A376" s="32" t="s">
        <v>1781</v>
      </c>
      <c r="B376" s="26" t="s">
        <v>1782</v>
      </c>
      <c r="C376" s="26" t="s">
        <v>1783</v>
      </c>
      <c r="D376" s="33">
        <v>191.22</v>
      </c>
      <c r="E376" s="33">
        <v>628.29</v>
      </c>
      <c r="F376" s="26">
        <v>18</v>
      </c>
      <c r="G376" s="35">
        <f>E376/F376</f>
        <v>34.905000000000001</v>
      </c>
      <c r="H376" s="37" t="s">
        <v>896</v>
      </c>
      <c r="I376" s="26" t="s">
        <v>1784</v>
      </c>
      <c r="J376" s="26" t="s">
        <v>1785</v>
      </c>
      <c r="K376" s="26" t="s">
        <v>1786</v>
      </c>
      <c r="L376" s="39" t="s">
        <v>22</v>
      </c>
      <c r="M376" s="8">
        <f>COUNTIF($B$1:$B$1191, B376)</f>
        <v>2</v>
      </c>
      <c r="N376" s="8">
        <f>COUNTIF($H$2:$H$1181, H376)</f>
        <v>37</v>
      </c>
    </row>
    <row r="377" spans="1:14">
      <c r="A377" s="29" t="s">
        <v>1787</v>
      </c>
      <c r="B377" s="30" t="s">
        <v>1788</v>
      </c>
      <c r="C377" s="30" t="s">
        <v>1789</v>
      </c>
      <c r="D377" s="31">
        <v>163.9</v>
      </c>
      <c r="E377" s="31">
        <v>1147.31</v>
      </c>
      <c r="F377" s="30">
        <v>14</v>
      </c>
      <c r="G377" s="34">
        <f>E377/F377</f>
        <v>81.950714285714284</v>
      </c>
      <c r="H377" s="36" t="s">
        <v>896</v>
      </c>
      <c r="I377" s="30" t="s">
        <v>1790</v>
      </c>
      <c r="J377" s="30" t="s">
        <v>1791</v>
      </c>
      <c r="K377" s="30" t="s">
        <v>1792</v>
      </c>
      <c r="L377" s="38" t="s">
        <v>22</v>
      </c>
      <c r="M377" s="8">
        <f>COUNTIF($B$1:$B$1191, B377)</f>
        <v>1</v>
      </c>
      <c r="N377" s="8">
        <f>COUNTIF($H$2:$H$1181, H377)</f>
        <v>37</v>
      </c>
    </row>
    <row r="378" spans="1:14">
      <c r="A378" s="29" t="s">
        <v>1793</v>
      </c>
      <c r="B378" s="30" t="s">
        <v>49</v>
      </c>
      <c r="C378" s="30" t="s">
        <v>50</v>
      </c>
      <c r="D378" s="31">
        <v>103.8</v>
      </c>
      <c r="E378" s="31">
        <v>125.66</v>
      </c>
      <c r="F378" s="30">
        <v>2</v>
      </c>
      <c r="G378" s="34">
        <f>E378/F378</f>
        <v>62.83</v>
      </c>
      <c r="H378" s="36" t="s">
        <v>896</v>
      </c>
      <c r="I378" s="30" t="s">
        <v>1794</v>
      </c>
      <c r="J378" s="30" t="s">
        <v>1795</v>
      </c>
      <c r="K378" s="30" t="s">
        <v>1796</v>
      </c>
      <c r="L378" s="38" t="s">
        <v>22</v>
      </c>
      <c r="M378" s="8">
        <f>COUNTIF($B$1:$B$1191, B378)</f>
        <v>15</v>
      </c>
      <c r="N378" s="8">
        <f>COUNTIF($H$2:$H$1181, H378)</f>
        <v>37</v>
      </c>
    </row>
    <row r="379" spans="1:14">
      <c r="A379" s="32" t="s">
        <v>1797</v>
      </c>
      <c r="B379" s="26" t="s">
        <v>49</v>
      </c>
      <c r="C379" s="26" t="s">
        <v>50</v>
      </c>
      <c r="D379" s="33">
        <v>103.8</v>
      </c>
      <c r="E379" s="33">
        <v>125.66</v>
      </c>
      <c r="F379" s="26">
        <v>2</v>
      </c>
      <c r="G379" s="35">
        <f>E379/F379</f>
        <v>62.83</v>
      </c>
      <c r="H379" s="37" t="s">
        <v>896</v>
      </c>
      <c r="I379" s="26" t="s">
        <v>1798</v>
      </c>
      <c r="J379" s="26" t="s">
        <v>1799</v>
      </c>
      <c r="K379" s="26" t="s">
        <v>1800</v>
      </c>
      <c r="L379" s="39" t="s">
        <v>22</v>
      </c>
      <c r="M379" s="8">
        <f>COUNTIF($B$1:$B$1191, B379)</f>
        <v>15</v>
      </c>
      <c r="N379" s="8">
        <f>COUNTIF($H$2:$H$1181, H379)</f>
        <v>37</v>
      </c>
    </row>
    <row r="380" spans="1:14">
      <c r="A380" s="29" t="s">
        <v>1801</v>
      </c>
      <c r="B380" s="30" t="s">
        <v>49</v>
      </c>
      <c r="C380" s="30" t="s">
        <v>50</v>
      </c>
      <c r="D380" s="31">
        <v>103.8</v>
      </c>
      <c r="E380" s="31">
        <v>125.66</v>
      </c>
      <c r="F380" s="30">
        <v>2</v>
      </c>
      <c r="G380" s="34">
        <f>E380/F380</f>
        <v>62.83</v>
      </c>
      <c r="H380" s="36" t="s">
        <v>896</v>
      </c>
      <c r="I380" s="30" t="s">
        <v>1802</v>
      </c>
      <c r="J380" s="30" t="s">
        <v>1803</v>
      </c>
      <c r="K380" s="30" t="s">
        <v>1804</v>
      </c>
      <c r="L380" s="38" t="s">
        <v>22</v>
      </c>
      <c r="M380" s="8">
        <f>COUNTIF($B$1:$B$1191, B380)</f>
        <v>15</v>
      </c>
      <c r="N380" s="8">
        <f>COUNTIF($H$2:$H$1181, H380)</f>
        <v>37</v>
      </c>
    </row>
    <row r="381" spans="1:14">
      <c r="A381" s="32" t="s">
        <v>1805</v>
      </c>
      <c r="B381" s="26" t="s">
        <v>1533</v>
      </c>
      <c r="C381" s="26" t="s">
        <v>1534</v>
      </c>
      <c r="D381" s="33">
        <v>98.34</v>
      </c>
      <c r="E381" s="33">
        <v>98.34</v>
      </c>
      <c r="F381" s="26">
        <v>1</v>
      </c>
      <c r="G381" s="35">
        <f>E381/F381</f>
        <v>98.34</v>
      </c>
      <c r="H381" s="37" t="s">
        <v>896</v>
      </c>
      <c r="I381" s="26" t="s">
        <v>1806</v>
      </c>
      <c r="J381" s="26" t="s">
        <v>1807</v>
      </c>
      <c r="K381" s="26" t="s">
        <v>1808</v>
      </c>
      <c r="L381" s="39" t="s">
        <v>22</v>
      </c>
      <c r="M381" s="8">
        <f>COUNTIF($B$1:$B$1191, B381)</f>
        <v>4</v>
      </c>
      <c r="N381" s="8">
        <f>COUNTIF($H$2:$H$1181, H381)</f>
        <v>37</v>
      </c>
    </row>
    <row r="382" spans="1:14">
      <c r="A382" s="29" t="s">
        <v>1809</v>
      </c>
      <c r="B382" s="30" t="s">
        <v>1533</v>
      </c>
      <c r="C382" s="30" t="s">
        <v>1534</v>
      </c>
      <c r="D382" s="31">
        <v>98.34</v>
      </c>
      <c r="E382" s="31">
        <v>98.34</v>
      </c>
      <c r="F382" s="30">
        <v>1</v>
      </c>
      <c r="G382" s="34">
        <f>E382/F382</f>
        <v>98.34</v>
      </c>
      <c r="H382" s="36" t="s">
        <v>896</v>
      </c>
      <c r="I382" s="30" t="s">
        <v>1810</v>
      </c>
      <c r="J382" s="30" t="s">
        <v>1811</v>
      </c>
      <c r="K382" s="30" t="s">
        <v>1812</v>
      </c>
      <c r="L382" s="38" t="s">
        <v>22</v>
      </c>
      <c r="M382" s="8">
        <f>COUNTIF($B$1:$B$1191, B382)</f>
        <v>4</v>
      </c>
      <c r="N382" s="8">
        <f>COUNTIF($H$2:$H$1181, H382)</f>
        <v>37</v>
      </c>
    </row>
    <row r="383" spans="1:14">
      <c r="A383" s="32" t="s">
        <v>1813</v>
      </c>
      <c r="B383" s="26" t="s">
        <v>568</v>
      </c>
      <c r="C383" s="26" t="s">
        <v>569</v>
      </c>
      <c r="D383" s="33">
        <v>92.88</v>
      </c>
      <c r="E383" s="33">
        <v>92.88</v>
      </c>
      <c r="F383" s="26">
        <v>1</v>
      </c>
      <c r="G383" s="35">
        <f>E383/F383</f>
        <v>92.88</v>
      </c>
      <c r="H383" s="37" t="s">
        <v>896</v>
      </c>
      <c r="I383" s="26" t="s">
        <v>1814</v>
      </c>
      <c r="J383" s="26" t="s">
        <v>1815</v>
      </c>
      <c r="K383" s="26" t="s">
        <v>1816</v>
      </c>
      <c r="L383" s="39" t="s">
        <v>22</v>
      </c>
      <c r="M383" s="8">
        <f>COUNTIF($B$1:$B$1191, B383)</f>
        <v>7</v>
      </c>
      <c r="N383" s="8">
        <f>COUNTIF($H$2:$H$1181, H383)</f>
        <v>37</v>
      </c>
    </row>
    <row r="384" spans="1:14">
      <c r="A384" s="29" t="s">
        <v>1817</v>
      </c>
      <c r="B384" s="30" t="s">
        <v>915</v>
      </c>
      <c r="C384" s="30" t="s">
        <v>916</v>
      </c>
      <c r="D384" s="31">
        <v>103.69</v>
      </c>
      <c r="E384" s="31">
        <v>120.06</v>
      </c>
      <c r="F384" s="30">
        <v>3</v>
      </c>
      <c r="G384" s="34">
        <f>E384/F384</f>
        <v>40.020000000000003</v>
      </c>
      <c r="H384" s="36" t="s">
        <v>1818</v>
      </c>
      <c r="I384" s="30" t="s">
        <v>1819</v>
      </c>
      <c r="J384" s="30" t="s">
        <v>1820</v>
      </c>
      <c r="K384" s="30" t="s">
        <v>1821</v>
      </c>
      <c r="L384" s="38" t="s">
        <v>22</v>
      </c>
      <c r="M384" s="8">
        <f>COUNTIF($B$1:$B$1191, B384)</f>
        <v>7</v>
      </c>
      <c r="N384" s="8">
        <f>COUNTIF($H$2:$H$1181, H384)</f>
        <v>4</v>
      </c>
    </row>
    <row r="385" spans="1:14">
      <c r="A385" s="32" t="s">
        <v>1822</v>
      </c>
      <c r="B385" s="26" t="s">
        <v>915</v>
      </c>
      <c r="C385" s="26" t="s">
        <v>916</v>
      </c>
      <c r="D385" s="33">
        <v>103.69</v>
      </c>
      <c r="E385" s="33">
        <v>120.06</v>
      </c>
      <c r="F385" s="26">
        <v>3</v>
      </c>
      <c r="G385" s="35">
        <f>E385/F385</f>
        <v>40.020000000000003</v>
      </c>
      <c r="H385" s="37" t="s">
        <v>1818</v>
      </c>
      <c r="I385" s="26" t="s">
        <v>1823</v>
      </c>
      <c r="J385" s="26" t="s">
        <v>1824</v>
      </c>
      <c r="K385" s="26" t="s">
        <v>1825</v>
      </c>
      <c r="L385" s="39" t="s">
        <v>22</v>
      </c>
      <c r="M385" s="8">
        <f>COUNTIF($B$1:$B$1191, B385)</f>
        <v>7</v>
      </c>
      <c r="N385" s="8">
        <f>COUNTIF($H$2:$H$1181, H385)</f>
        <v>4</v>
      </c>
    </row>
    <row r="386" spans="1:14">
      <c r="A386" s="29" t="s">
        <v>1826</v>
      </c>
      <c r="B386" s="30" t="s">
        <v>1827</v>
      </c>
      <c r="C386" s="30" t="s">
        <v>1828</v>
      </c>
      <c r="D386" s="31">
        <v>125.52</v>
      </c>
      <c r="E386" s="31">
        <v>125.52</v>
      </c>
      <c r="F386" s="30">
        <v>1</v>
      </c>
      <c r="G386" s="34">
        <f>E386/F386</f>
        <v>125.52</v>
      </c>
      <c r="H386" s="36" t="s">
        <v>1818</v>
      </c>
      <c r="I386" s="30" t="s">
        <v>1829</v>
      </c>
      <c r="J386" s="30" t="s">
        <v>1830</v>
      </c>
      <c r="K386" s="30" t="s">
        <v>1831</v>
      </c>
      <c r="L386" s="38" t="s">
        <v>22</v>
      </c>
      <c r="M386" s="8">
        <f>COUNTIF($B$1:$B$1191, B386)</f>
        <v>5</v>
      </c>
      <c r="N386" s="8">
        <f>COUNTIF($H$2:$H$1181, H386)</f>
        <v>4</v>
      </c>
    </row>
    <row r="387" spans="1:14">
      <c r="A387" s="32" t="s">
        <v>1832</v>
      </c>
      <c r="B387" s="26" t="s">
        <v>578</v>
      </c>
      <c r="C387" s="26" t="s">
        <v>579</v>
      </c>
      <c r="D387" s="33">
        <v>81.86</v>
      </c>
      <c r="E387" s="33">
        <v>81.86</v>
      </c>
      <c r="F387" s="26">
        <v>1</v>
      </c>
      <c r="G387" s="35">
        <f>E387/F387</f>
        <v>81.86</v>
      </c>
      <c r="H387" s="37" t="s">
        <v>1818</v>
      </c>
      <c r="I387" s="26" t="s">
        <v>1833</v>
      </c>
      <c r="J387" s="26" t="s">
        <v>1834</v>
      </c>
      <c r="K387" s="26" t="s">
        <v>1835</v>
      </c>
      <c r="L387" s="39" t="s">
        <v>22</v>
      </c>
      <c r="M387" s="8">
        <f>COUNTIF($B$1:$B$1191, B387)</f>
        <v>8</v>
      </c>
      <c r="N387" s="8">
        <f>COUNTIF($H$2:$H$1181, H387)</f>
        <v>4</v>
      </c>
    </row>
    <row r="388" spans="1:14">
      <c r="A388" s="29" t="s">
        <v>1836</v>
      </c>
      <c r="B388" s="30" t="s">
        <v>1837</v>
      </c>
      <c r="C388" s="30" t="s">
        <v>1838</v>
      </c>
      <c r="D388" s="31">
        <v>49.12</v>
      </c>
      <c r="E388" s="31">
        <v>49.12</v>
      </c>
      <c r="F388" s="30">
        <v>1</v>
      </c>
      <c r="G388" s="34">
        <f>E388/F388</f>
        <v>49.12</v>
      </c>
      <c r="H388" s="36" t="s">
        <v>1839</v>
      </c>
      <c r="I388" s="30" t="s">
        <v>1840</v>
      </c>
      <c r="J388" s="30" t="s">
        <v>1841</v>
      </c>
      <c r="K388" s="30" t="s">
        <v>1842</v>
      </c>
      <c r="L388" s="38" t="s">
        <v>22</v>
      </c>
      <c r="M388" s="8">
        <f>COUNTIF($B$1:$B$1191, B388)</f>
        <v>1</v>
      </c>
      <c r="N388" s="8">
        <f>COUNTIF($H$2:$H$1181, H388)</f>
        <v>121</v>
      </c>
    </row>
    <row r="389" spans="1:14">
      <c r="A389" s="32" t="s">
        <v>1843</v>
      </c>
      <c r="B389" s="26" t="s">
        <v>165</v>
      </c>
      <c r="C389" s="26" t="s">
        <v>165</v>
      </c>
      <c r="D389" s="33">
        <v>49.12</v>
      </c>
      <c r="E389" s="33">
        <v>49.12</v>
      </c>
      <c r="F389" s="26">
        <v>1</v>
      </c>
      <c r="G389" s="35">
        <f>E389/F389</f>
        <v>49.12</v>
      </c>
      <c r="H389" s="37" t="s">
        <v>1839</v>
      </c>
      <c r="I389" s="26" t="s">
        <v>1844</v>
      </c>
      <c r="J389" s="26" t="s">
        <v>1845</v>
      </c>
      <c r="K389" s="26" t="s">
        <v>1846</v>
      </c>
      <c r="L389" s="39" t="s">
        <v>22</v>
      </c>
      <c r="M389" s="8">
        <f>COUNTIF($B$1:$B$1191, B389)</f>
        <v>9</v>
      </c>
      <c r="N389" s="8">
        <f>COUNTIF($H$2:$H$1181, H389)</f>
        <v>121</v>
      </c>
    </row>
    <row r="390" spans="1:14">
      <c r="A390" s="29" t="s">
        <v>1847</v>
      </c>
      <c r="B390" s="30" t="s">
        <v>1848</v>
      </c>
      <c r="C390" s="30" t="s">
        <v>1849</v>
      </c>
      <c r="D390" s="31">
        <v>229.21</v>
      </c>
      <c r="E390" s="31">
        <v>229.21</v>
      </c>
      <c r="F390" s="30">
        <v>1</v>
      </c>
      <c r="G390" s="34">
        <f>E390/F390</f>
        <v>229.21</v>
      </c>
      <c r="H390" s="36" t="s">
        <v>1839</v>
      </c>
      <c r="I390" s="30" t="s">
        <v>1850</v>
      </c>
      <c r="J390" s="30" t="s">
        <v>1851</v>
      </c>
      <c r="K390" s="30" t="s">
        <v>1852</v>
      </c>
      <c r="L390" s="38" t="s">
        <v>153</v>
      </c>
      <c r="M390" s="8">
        <f>COUNTIF($B$1:$B$1191, B390)</f>
        <v>1</v>
      </c>
      <c r="N390" s="8">
        <f>COUNTIF($H$2:$H$1181, H390)</f>
        <v>121</v>
      </c>
    </row>
    <row r="391" spans="1:14">
      <c r="A391" s="32" t="s">
        <v>1853</v>
      </c>
      <c r="B391" s="26" t="s">
        <v>1854</v>
      </c>
      <c r="C391" s="26" t="s">
        <v>1855</v>
      </c>
      <c r="D391" s="33">
        <v>163.72</v>
      </c>
      <c r="E391" s="33">
        <v>163.72</v>
      </c>
      <c r="F391" s="26">
        <v>1</v>
      </c>
      <c r="G391" s="35">
        <f>E391/F391</f>
        <v>163.72</v>
      </c>
      <c r="H391" s="37" t="s">
        <v>1839</v>
      </c>
      <c r="I391" s="26" t="s">
        <v>1856</v>
      </c>
      <c r="J391" s="26" t="s">
        <v>1857</v>
      </c>
      <c r="K391" s="26" t="s">
        <v>1858</v>
      </c>
      <c r="L391" s="39" t="s">
        <v>153</v>
      </c>
      <c r="M391" s="8">
        <f>COUNTIF($B$1:$B$1191, B391)</f>
        <v>2</v>
      </c>
      <c r="N391" s="8">
        <f>COUNTIF($H$2:$H$1181, H391)</f>
        <v>121</v>
      </c>
    </row>
    <row r="392" spans="1:14">
      <c r="A392" s="29" t="s">
        <v>1859</v>
      </c>
      <c r="B392" s="30" t="s">
        <v>1860</v>
      </c>
      <c r="C392" s="30" t="s">
        <v>1861</v>
      </c>
      <c r="D392" s="31">
        <v>103.69</v>
      </c>
      <c r="E392" s="31">
        <v>103.69</v>
      </c>
      <c r="F392" s="30">
        <v>1</v>
      </c>
      <c r="G392" s="34">
        <f>E392/F392</f>
        <v>103.69</v>
      </c>
      <c r="H392" s="36" t="s">
        <v>1839</v>
      </c>
      <c r="I392" s="30" t="s">
        <v>1862</v>
      </c>
      <c r="J392" s="30" t="s">
        <v>1863</v>
      </c>
      <c r="K392" s="30" t="s">
        <v>1864</v>
      </c>
      <c r="L392" s="38" t="s">
        <v>22</v>
      </c>
      <c r="M392" s="8">
        <f>COUNTIF($B$1:$B$1191, B392)</f>
        <v>2</v>
      </c>
      <c r="N392" s="8">
        <f>COUNTIF($H$2:$H$1181, H392)</f>
        <v>121</v>
      </c>
    </row>
    <row r="393" spans="1:14">
      <c r="A393" s="32" t="s">
        <v>1865</v>
      </c>
      <c r="B393" s="26" t="s">
        <v>310</v>
      </c>
      <c r="C393" s="26" t="s">
        <v>311</v>
      </c>
      <c r="D393" s="33">
        <v>185.55</v>
      </c>
      <c r="E393" s="33">
        <v>185.55</v>
      </c>
      <c r="F393" s="26">
        <v>1</v>
      </c>
      <c r="G393" s="35">
        <f>E393/F393</f>
        <v>185.55</v>
      </c>
      <c r="H393" s="37" t="s">
        <v>1839</v>
      </c>
      <c r="I393" s="26" t="s">
        <v>1866</v>
      </c>
      <c r="J393" s="26" t="s">
        <v>1867</v>
      </c>
      <c r="K393" s="26" t="s">
        <v>1868</v>
      </c>
      <c r="L393" s="39" t="s">
        <v>22</v>
      </c>
      <c r="M393" s="8">
        <f>COUNTIF($B$1:$B$1191, B393)</f>
        <v>2</v>
      </c>
      <c r="N393" s="8">
        <f>COUNTIF($H$2:$H$1181, H393)</f>
        <v>121</v>
      </c>
    </row>
    <row r="394" spans="1:14">
      <c r="A394" s="29" t="s">
        <v>1869</v>
      </c>
      <c r="B394" s="30" t="s">
        <v>1870</v>
      </c>
      <c r="C394" s="30" t="s">
        <v>1870</v>
      </c>
      <c r="D394" s="31">
        <v>158.27000000000001</v>
      </c>
      <c r="E394" s="31">
        <v>158.27000000000001</v>
      </c>
      <c r="F394" s="30">
        <v>1</v>
      </c>
      <c r="G394" s="34">
        <f>E394/F394</f>
        <v>158.27000000000001</v>
      </c>
      <c r="H394" s="36" t="s">
        <v>1839</v>
      </c>
      <c r="I394" s="30" t="s">
        <v>1871</v>
      </c>
      <c r="J394" s="30" t="s">
        <v>1872</v>
      </c>
      <c r="K394" s="30" t="s">
        <v>1873</v>
      </c>
      <c r="L394" s="38" t="s">
        <v>22</v>
      </c>
      <c r="M394" s="8">
        <f>COUNTIF($B$1:$B$1191, B394)</f>
        <v>4</v>
      </c>
      <c r="N394" s="8">
        <f>COUNTIF($H$2:$H$1181, H394)</f>
        <v>121</v>
      </c>
    </row>
    <row r="395" spans="1:14">
      <c r="A395" s="32" t="s">
        <v>1874</v>
      </c>
      <c r="B395" s="26" t="s">
        <v>379</v>
      </c>
      <c r="C395" s="26" t="s">
        <v>379</v>
      </c>
      <c r="D395" s="33">
        <v>125.52</v>
      </c>
      <c r="E395" s="33">
        <v>125.52</v>
      </c>
      <c r="F395" s="26">
        <v>2</v>
      </c>
      <c r="G395" s="35">
        <f>E395/F395</f>
        <v>62.76</v>
      </c>
      <c r="H395" s="37" t="s">
        <v>1839</v>
      </c>
      <c r="I395" s="26" t="s">
        <v>1875</v>
      </c>
      <c r="J395" s="26" t="s">
        <v>1876</v>
      </c>
      <c r="K395" s="26" t="s">
        <v>1877</v>
      </c>
      <c r="L395" s="39" t="s">
        <v>22</v>
      </c>
      <c r="M395" s="8">
        <f>COUNTIF($B$1:$B$1191, B395)</f>
        <v>19</v>
      </c>
      <c r="N395" s="8">
        <f>COUNTIF($H$2:$H$1181, H395)</f>
        <v>121</v>
      </c>
    </row>
    <row r="396" spans="1:14">
      <c r="A396" s="29" t="s">
        <v>1878</v>
      </c>
      <c r="B396" s="30" t="s">
        <v>37</v>
      </c>
      <c r="C396" s="30" t="s">
        <v>38</v>
      </c>
      <c r="D396" s="31">
        <v>125.52</v>
      </c>
      <c r="E396" s="31">
        <v>125.52</v>
      </c>
      <c r="F396" s="30">
        <v>1</v>
      </c>
      <c r="G396" s="34">
        <f>E396/F396</f>
        <v>125.52</v>
      </c>
      <c r="H396" s="36" t="s">
        <v>1839</v>
      </c>
      <c r="I396" s="30" t="s">
        <v>1879</v>
      </c>
      <c r="J396" s="30" t="s">
        <v>1880</v>
      </c>
      <c r="K396" s="30" t="s">
        <v>1881</v>
      </c>
      <c r="L396" s="38" t="s">
        <v>22</v>
      </c>
      <c r="M396" s="8">
        <f>COUNTIF($B$1:$B$1191, B396)</f>
        <v>11</v>
      </c>
      <c r="N396" s="8">
        <f>COUNTIF($H$2:$H$1181, H396)</f>
        <v>121</v>
      </c>
    </row>
    <row r="397" spans="1:14">
      <c r="A397" s="32" t="s">
        <v>1882</v>
      </c>
      <c r="B397" s="26" t="s">
        <v>368</v>
      </c>
      <c r="C397" s="26" t="s">
        <v>50</v>
      </c>
      <c r="D397" s="33">
        <v>92.78</v>
      </c>
      <c r="E397" s="33">
        <v>103.69</v>
      </c>
      <c r="F397" s="26">
        <v>2</v>
      </c>
      <c r="G397" s="35">
        <f>E397/F397</f>
        <v>51.844999999999999</v>
      </c>
      <c r="H397" s="37" t="s">
        <v>1839</v>
      </c>
      <c r="I397" s="26" t="s">
        <v>1883</v>
      </c>
      <c r="J397" s="26" t="s">
        <v>1884</v>
      </c>
      <c r="K397" s="26" t="s">
        <v>1885</v>
      </c>
      <c r="L397" s="39" t="s">
        <v>22</v>
      </c>
      <c r="M397" s="8">
        <f>COUNTIF($B$1:$B$1191, B397)</f>
        <v>9</v>
      </c>
      <c r="N397" s="8">
        <f>COUNTIF($H$2:$H$1181, H397)</f>
        <v>121</v>
      </c>
    </row>
    <row r="398" spans="1:14">
      <c r="A398" s="29" t="s">
        <v>1886</v>
      </c>
      <c r="B398" s="30" t="s">
        <v>368</v>
      </c>
      <c r="C398" s="30" t="s">
        <v>50</v>
      </c>
      <c r="D398" s="31">
        <v>92.78</v>
      </c>
      <c r="E398" s="31">
        <v>103.69</v>
      </c>
      <c r="F398" s="30">
        <v>2</v>
      </c>
      <c r="G398" s="34">
        <f>E398/F398</f>
        <v>51.844999999999999</v>
      </c>
      <c r="H398" s="36" t="s">
        <v>1839</v>
      </c>
      <c r="I398" s="30" t="s">
        <v>1887</v>
      </c>
      <c r="J398" s="30" t="s">
        <v>1888</v>
      </c>
      <c r="K398" s="30" t="s">
        <v>1889</v>
      </c>
      <c r="L398" s="38" t="s">
        <v>22</v>
      </c>
      <c r="M398" s="8">
        <f>COUNTIF($B$1:$B$1191, B398)</f>
        <v>9</v>
      </c>
      <c r="N398" s="8">
        <f>COUNTIF($H$2:$H$1181, H398)</f>
        <v>121</v>
      </c>
    </row>
    <row r="399" spans="1:14">
      <c r="A399" s="32" t="s">
        <v>1890</v>
      </c>
      <c r="B399" s="26" t="s">
        <v>1870</v>
      </c>
      <c r="C399" s="26" t="s">
        <v>1870</v>
      </c>
      <c r="D399" s="33">
        <v>158.27000000000001</v>
      </c>
      <c r="E399" s="33">
        <v>158.27000000000001</v>
      </c>
      <c r="F399" s="26">
        <v>1</v>
      </c>
      <c r="G399" s="35">
        <f>E399/F399</f>
        <v>158.27000000000001</v>
      </c>
      <c r="H399" s="37" t="s">
        <v>1839</v>
      </c>
      <c r="I399" s="26" t="s">
        <v>1891</v>
      </c>
      <c r="J399" s="26" t="s">
        <v>1892</v>
      </c>
      <c r="K399" s="26" t="s">
        <v>1893</v>
      </c>
      <c r="L399" s="39" t="s">
        <v>22</v>
      </c>
      <c r="M399" s="8">
        <f>COUNTIF($B$1:$B$1191, B399)</f>
        <v>4</v>
      </c>
      <c r="N399" s="8">
        <f>COUNTIF($H$2:$H$1181, H399)</f>
        <v>121</v>
      </c>
    </row>
    <row r="400" spans="1:14">
      <c r="A400" s="29" t="s">
        <v>1894</v>
      </c>
      <c r="B400" s="30" t="s">
        <v>1895</v>
      </c>
      <c r="C400" s="30" t="s">
        <v>1896</v>
      </c>
      <c r="D400" s="31">
        <v>109.15</v>
      </c>
      <c r="E400" s="31">
        <v>109.15</v>
      </c>
      <c r="F400" s="30">
        <v>1</v>
      </c>
      <c r="G400" s="34">
        <f>E400/F400</f>
        <v>109.15</v>
      </c>
      <c r="H400" s="36" t="s">
        <v>1839</v>
      </c>
      <c r="I400" s="30" t="s">
        <v>1897</v>
      </c>
      <c r="J400" s="30" t="s">
        <v>1898</v>
      </c>
      <c r="K400" s="30" t="s">
        <v>1899</v>
      </c>
      <c r="L400" s="38" t="s">
        <v>22</v>
      </c>
      <c r="M400" s="8">
        <f>COUNTIF($B$1:$B$1191, B400)</f>
        <v>9</v>
      </c>
      <c r="N400" s="8">
        <f>COUNTIF($H$2:$H$1181, H400)</f>
        <v>121</v>
      </c>
    </row>
    <row r="401" spans="1:14">
      <c r="A401" s="32" t="s">
        <v>1900</v>
      </c>
      <c r="B401" s="26" t="s">
        <v>1901</v>
      </c>
      <c r="C401" s="26" t="s">
        <v>1902</v>
      </c>
      <c r="D401" s="33">
        <v>136.44</v>
      </c>
      <c r="E401" s="33">
        <v>136.44</v>
      </c>
      <c r="F401" s="26">
        <v>1</v>
      </c>
      <c r="G401" s="35">
        <f>E401/F401</f>
        <v>136.44</v>
      </c>
      <c r="H401" s="37" t="s">
        <v>1839</v>
      </c>
      <c r="I401" s="26" t="s">
        <v>1903</v>
      </c>
      <c r="J401" s="26" t="s">
        <v>1904</v>
      </c>
      <c r="K401" s="26" t="s">
        <v>1905</v>
      </c>
      <c r="L401" s="39" t="s">
        <v>22</v>
      </c>
      <c r="M401" s="8">
        <f>COUNTIF($B$1:$B$1191, B401)</f>
        <v>1</v>
      </c>
      <c r="N401" s="8">
        <f>COUNTIF($H$2:$H$1181, H401)</f>
        <v>121</v>
      </c>
    </row>
    <row r="402" spans="1:14">
      <c r="A402" s="29" t="s">
        <v>1906</v>
      </c>
      <c r="B402" s="30" t="s">
        <v>1895</v>
      </c>
      <c r="C402" s="30" t="s">
        <v>1896</v>
      </c>
      <c r="D402" s="31">
        <v>109.15</v>
      </c>
      <c r="E402" s="31">
        <v>109.15</v>
      </c>
      <c r="F402" s="30">
        <v>1</v>
      </c>
      <c r="G402" s="34">
        <f>E402/F402</f>
        <v>109.15</v>
      </c>
      <c r="H402" s="36" t="s">
        <v>1839</v>
      </c>
      <c r="I402" s="30" t="s">
        <v>1907</v>
      </c>
      <c r="J402" s="30" t="s">
        <v>1908</v>
      </c>
      <c r="K402" s="30" t="s">
        <v>1909</v>
      </c>
      <c r="L402" s="38" t="s">
        <v>22</v>
      </c>
      <c r="M402" s="8">
        <f>COUNTIF($B$1:$B$1191, B402)</f>
        <v>9</v>
      </c>
      <c r="N402" s="8">
        <f>COUNTIF($H$2:$H$1181, H402)</f>
        <v>121</v>
      </c>
    </row>
    <row r="403" spans="1:14">
      <c r="A403" s="32" t="s">
        <v>1910</v>
      </c>
      <c r="B403" s="26" t="s">
        <v>379</v>
      </c>
      <c r="C403" s="26" t="s">
        <v>379</v>
      </c>
      <c r="D403" s="33">
        <v>114.61</v>
      </c>
      <c r="E403" s="33">
        <v>114.61</v>
      </c>
      <c r="F403" s="26">
        <v>2</v>
      </c>
      <c r="G403" s="35">
        <f>E403/F403</f>
        <v>57.305</v>
      </c>
      <c r="H403" s="37" t="s">
        <v>1839</v>
      </c>
      <c r="I403" s="26" t="s">
        <v>1911</v>
      </c>
      <c r="J403" s="26" t="s">
        <v>1912</v>
      </c>
      <c r="K403" s="26" t="s">
        <v>1913</v>
      </c>
      <c r="L403" s="39" t="s">
        <v>22</v>
      </c>
      <c r="M403" s="8">
        <f>COUNTIF($B$1:$B$1191, B403)</f>
        <v>19</v>
      </c>
      <c r="N403" s="8">
        <f>COUNTIF($H$2:$H$1181, H403)</f>
        <v>121</v>
      </c>
    </row>
    <row r="404" spans="1:14">
      <c r="A404" s="29" t="s">
        <v>1914</v>
      </c>
      <c r="B404" s="30" t="s">
        <v>753</v>
      </c>
      <c r="C404" s="30" t="s">
        <v>754</v>
      </c>
      <c r="D404" s="31">
        <v>76.400000000000006</v>
      </c>
      <c r="E404" s="31">
        <v>76.400000000000006</v>
      </c>
      <c r="F404" s="30">
        <v>1</v>
      </c>
      <c r="G404" s="34">
        <f>E404/F404</f>
        <v>76.400000000000006</v>
      </c>
      <c r="H404" s="36" t="s">
        <v>1839</v>
      </c>
      <c r="I404" s="30" t="s">
        <v>1915</v>
      </c>
      <c r="J404" s="30" t="s">
        <v>1916</v>
      </c>
      <c r="K404" s="30" t="s">
        <v>1917</v>
      </c>
      <c r="L404" s="38" t="s">
        <v>22</v>
      </c>
      <c r="M404" s="8">
        <f>COUNTIF($B$1:$B$1191, B404)</f>
        <v>24</v>
      </c>
      <c r="N404" s="8">
        <f>COUNTIF($H$2:$H$1181, H404)</f>
        <v>121</v>
      </c>
    </row>
    <row r="405" spans="1:14">
      <c r="A405" s="32" t="s">
        <v>1918</v>
      </c>
      <c r="B405" s="26" t="s">
        <v>1156</v>
      </c>
      <c r="C405" s="26" t="s">
        <v>1157</v>
      </c>
      <c r="D405" s="33">
        <v>81.86</v>
      </c>
      <c r="E405" s="33">
        <v>81.86</v>
      </c>
      <c r="F405" s="26">
        <v>1</v>
      </c>
      <c r="G405" s="35">
        <f>E405/F405</f>
        <v>81.86</v>
      </c>
      <c r="H405" s="37" t="s">
        <v>1839</v>
      </c>
      <c r="I405" s="26" t="s">
        <v>1919</v>
      </c>
      <c r="J405" s="26" t="s">
        <v>1920</v>
      </c>
      <c r="K405" s="26" t="s">
        <v>1921</v>
      </c>
      <c r="L405" s="39" t="s">
        <v>22</v>
      </c>
      <c r="M405" s="8">
        <f>COUNTIF($B$1:$B$1191, B405)</f>
        <v>6</v>
      </c>
      <c r="N405" s="8">
        <f>COUNTIF($H$2:$H$1181, H405)</f>
        <v>121</v>
      </c>
    </row>
    <row r="406" spans="1:14">
      <c r="A406" s="29" t="s">
        <v>1922</v>
      </c>
      <c r="B406" s="30" t="s">
        <v>1923</v>
      </c>
      <c r="C406" s="30" t="s">
        <v>1923</v>
      </c>
      <c r="D406" s="31">
        <v>70.95</v>
      </c>
      <c r="E406" s="31">
        <v>92.78</v>
      </c>
      <c r="F406" s="30">
        <v>2</v>
      </c>
      <c r="G406" s="34">
        <f>E406/F406</f>
        <v>46.39</v>
      </c>
      <c r="H406" s="36" t="s">
        <v>1839</v>
      </c>
      <c r="I406" s="30" t="s">
        <v>1924</v>
      </c>
      <c r="J406" s="30" t="s">
        <v>1925</v>
      </c>
      <c r="K406" s="30" t="s">
        <v>1926</v>
      </c>
      <c r="L406" s="38" t="s">
        <v>22</v>
      </c>
      <c r="M406" s="8">
        <f>COUNTIF($B$1:$B$1191, B406)</f>
        <v>1</v>
      </c>
      <c r="N406" s="8">
        <f>COUNTIF($H$2:$H$1181, H406)</f>
        <v>121</v>
      </c>
    </row>
    <row r="407" spans="1:14">
      <c r="A407" s="32" t="s">
        <v>1927</v>
      </c>
      <c r="B407" s="26" t="s">
        <v>1053</v>
      </c>
      <c r="C407" s="26" t="s">
        <v>506</v>
      </c>
      <c r="D407" s="33">
        <v>136.44</v>
      </c>
      <c r="E407" s="33">
        <v>136.44</v>
      </c>
      <c r="F407" s="26">
        <v>1</v>
      </c>
      <c r="G407" s="35">
        <f>E407/F407</f>
        <v>136.44</v>
      </c>
      <c r="H407" s="37" t="s">
        <v>1839</v>
      </c>
      <c r="I407" s="26" t="s">
        <v>1928</v>
      </c>
      <c r="J407" s="26" t="s">
        <v>1929</v>
      </c>
      <c r="K407" s="26" t="s">
        <v>1930</v>
      </c>
      <c r="L407" s="39" t="s">
        <v>22</v>
      </c>
      <c r="M407" s="8">
        <f>COUNTIF($B$1:$B$1191, B407)</f>
        <v>20</v>
      </c>
      <c r="N407" s="8">
        <f>COUNTIF($H$2:$H$1181, H407)</f>
        <v>121</v>
      </c>
    </row>
    <row r="408" spans="1:14">
      <c r="A408" s="29" t="s">
        <v>1931</v>
      </c>
      <c r="B408" s="30" t="s">
        <v>1932</v>
      </c>
      <c r="C408" s="30" t="s">
        <v>1933</v>
      </c>
      <c r="D408" s="31">
        <v>136.44</v>
      </c>
      <c r="E408" s="31">
        <v>136.44</v>
      </c>
      <c r="F408" s="30">
        <v>2</v>
      </c>
      <c r="G408" s="34">
        <f>E408/F408</f>
        <v>68.22</v>
      </c>
      <c r="H408" s="36" t="s">
        <v>1839</v>
      </c>
      <c r="I408" s="30" t="s">
        <v>1934</v>
      </c>
      <c r="J408" s="30" t="s">
        <v>1935</v>
      </c>
      <c r="K408" s="30" t="s">
        <v>1936</v>
      </c>
      <c r="L408" s="38" t="s">
        <v>22</v>
      </c>
      <c r="M408" s="8">
        <f>COUNTIF($B$1:$B$1191, B408)</f>
        <v>2</v>
      </c>
      <c r="N408" s="8">
        <f>COUNTIF($H$2:$H$1181, H408)</f>
        <v>121</v>
      </c>
    </row>
    <row r="409" spans="1:14">
      <c r="A409" s="32" t="s">
        <v>1937</v>
      </c>
      <c r="B409" s="26" t="s">
        <v>1938</v>
      </c>
      <c r="C409" s="26" t="s">
        <v>1939</v>
      </c>
      <c r="D409" s="33">
        <v>109.15</v>
      </c>
      <c r="E409" s="33">
        <v>267.42</v>
      </c>
      <c r="F409" s="26">
        <v>18</v>
      </c>
      <c r="G409" s="35">
        <f>E409/F409</f>
        <v>14.856666666666667</v>
      </c>
      <c r="H409" s="37" t="s">
        <v>1839</v>
      </c>
      <c r="I409" s="26" t="s">
        <v>1940</v>
      </c>
      <c r="J409" s="26" t="s">
        <v>1941</v>
      </c>
      <c r="K409" s="26" t="s">
        <v>1942</v>
      </c>
      <c r="L409" s="39" t="s">
        <v>153</v>
      </c>
      <c r="M409" s="8">
        <f>COUNTIF($B$1:$B$1191, B409)</f>
        <v>1</v>
      </c>
      <c r="N409" s="8">
        <f>COUNTIF($H$2:$H$1181, H409)</f>
        <v>121</v>
      </c>
    </row>
    <row r="410" spans="1:14">
      <c r="A410" s="29" t="s">
        <v>1943</v>
      </c>
      <c r="B410" s="30" t="s">
        <v>905</v>
      </c>
      <c r="C410" s="30" t="s">
        <v>906</v>
      </c>
      <c r="D410" s="31">
        <v>92.78</v>
      </c>
      <c r="E410" s="31">
        <v>92.78</v>
      </c>
      <c r="F410" s="30">
        <v>1</v>
      </c>
      <c r="G410" s="34">
        <f>E410/F410</f>
        <v>92.78</v>
      </c>
      <c r="H410" s="36" t="s">
        <v>1839</v>
      </c>
      <c r="I410" s="30" t="s">
        <v>1944</v>
      </c>
      <c r="J410" s="30" t="s">
        <v>1945</v>
      </c>
      <c r="K410" s="30" t="s">
        <v>1946</v>
      </c>
      <c r="L410" s="38" t="s">
        <v>22</v>
      </c>
      <c r="M410" s="8">
        <f>COUNTIF($B$1:$B$1191, B410)</f>
        <v>4</v>
      </c>
      <c r="N410" s="8">
        <f>COUNTIF($H$2:$H$1181, H410)</f>
        <v>121</v>
      </c>
    </row>
    <row r="411" spans="1:14">
      <c r="A411" s="32" t="s">
        <v>1947</v>
      </c>
      <c r="B411" s="26" t="s">
        <v>1948</v>
      </c>
      <c r="C411" s="26" t="s">
        <v>1949</v>
      </c>
      <c r="D411" s="33">
        <v>87.32</v>
      </c>
      <c r="E411" s="33">
        <v>212.84</v>
      </c>
      <c r="F411" s="26">
        <v>9</v>
      </c>
      <c r="G411" s="35">
        <f>E411/F411</f>
        <v>23.648888888888891</v>
      </c>
      <c r="H411" s="37" t="s">
        <v>1839</v>
      </c>
      <c r="I411" s="26" t="s">
        <v>1950</v>
      </c>
      <c r="J411" s="26" t="s">
        <v>1951</v>
      </c>
      <c r="K411" s="26" t="s">
        <v>1952</v>
      </c>
      <c r="L411" s="39" t="s">
        <v>22</v>
      </c>
      <c r="M411" s="8">
        <f>COUNTIF($B$1:$B$1191, B411)</f>
        <v>1</v>
      </c>
      <c r="N411" s="8">
        <f>COUNTIF($H$2:$H$1181, H411)</f>
        <v>121</v>
      </c>
    </row>
    <row r="412" spans="1:14">
      <c r="A412" s="29" t="s">
        <v>1953</v>
      </c>
      <c r="B412" s="30" t="s">
        <v>438</v>
      </c>
      <c r="C412" s="30" t="s">
        <v>439</v>
      </c>
      <c r="D412" s="31">
        <v>87.32</v>
      </c>
      <c r="E412" s="31">
        <v>98.23</v>
      </c>
      <c r="F412" s="30">
        <v>2</v>
      </c>
      <c r="G412" s="34">
        <f>E412/F412</f>
        <v>49.115000000000002</v>
      </c>
      <c r="H412" s="36" t="s">
        <v>1839</v>
      </c>
      <c r="I412" s="30" t="s">
        <v>1954</v>
      </c>
      <c r="J412" s="30" t="s">
        <v>1955</v>
      </c>
      <c r="K412" s="30" t="s">
        <v>1956</v>
      </c>
      <c r="L412" s="38" t="s">
        <v>22</v>
      </c>
      <c r="M412" s="8">
        <f>COUNTIF($B$1:$B$1191, B412)</f>
        <v>14</v>
      </c>
      <c r="N412" s="8">
        <f>COUNTIF($H$2:$H$1181, H412)</f>
        <v>121</v>
      </c>
    </row>
    <row r="413" spans="1:14">
      <c r="A413" s="32" t="s">
        <v>1957</v>
      </c>
      <c r="B413" s="26" t="s">
        <v>438</v>
      </c>
      <c r="C413" s="26" t="s">
        <v>439</v>
      </c>
      <c r="D413" s="33">
        <v>87.32</v>
      </c>
      <c r="E413" s="33">
        <v>98.23</v>
      </c>
      <c r="F413" s="26">
        <v>2</v>
      </c>
      <c r="G413" s="35">
        <f>E413/F413</f>
        <v>49.115000000000002</v>
      </c>
      <c r="H413" s="37" t="s">
        <v>1839</v>
      </c>
      <c r="I413" s="26" t="s">
        <v>1958</v>
      </c>
      <c r="J413" s="26" t="s">
        <v>1959</v>
      </c>
      <c r="K413" s="26" t="s">
        <v>1960</v>
      </c>
      <c r="L413" s="39" t="s">
        <v>22</v>
      </c>
      <c r="M413" s="8">
        <f>COUNTIF($B$1:$B$1191, B413)</f>
        <v>14</v>
      </c>
      <c r="N413" s="8">
        <f>COUNTIF($H$2:$H$1181, H413)</f>
        <v>121</v>
      </c>
    </row>
    <row r="414" spans="1:14">
      <c r="A414" s="29" t="s">
        <v>1961</v>
      </c>
      <c r="B414" s="30" t="s">
        <v>1962</v>
      </c>
      <c r="C414" s="30" t="s">
        <v>1963</v>
      </c>
      <c r="D414" s="31">
        <v>81.86</v>
      </c>
      <c r="E414" s="31">
        <v>120.06</v>
      </c>
      <c r="F414" s="30">
        <v>2</v>
      </c>
      <c r="G414" s="34">
        <f>E414/F414</f>
        <v>60.03</v>
      </c>
      <c r="H414" s="36" t="s">
        <v>1839</v>
      </c>
      <c r="I414" s="30" t="s">
        <v>1964</v>
      </c>
      <c r="J414" s="30" t="s">
        <v>1965</v>
      </c>
      <c r="K414" s="30" t="s">
        <v>1966</v>
      </c>
      <c r="L414" s="38" t="s">
        <v>22</v>
      </c>
      <c r="M414" s="8">
        <f>COUNTIF($B$1:$B$1191, B414)</f>
        <v>3</v>
      </c>
      <c r="N414" s="8">
        <f>COUNTIF($H$2:$H$1181, H414)</f>
        <v>121</v>
      </c>
    </row>
    <row r="415" spans="1:14">
      <c r="A415" s="32" t="s">
        <v>1967</v>
      </c>
      <c r="B415" s="26" t="s">
        <v>82</v>
      </c>
      <c r="C415" s="26" t="s">
        <v>83</v>
      </c>
      <c r="D415" s="33">
        <v>81.86</v>
      </c>
      <c r="E415" s="33">
        <v>136.44</v>
      </c>
      <c r="F415" s="26">
        <v>2</v>
      </c>
      <c r="G415" s="35">
        <f>E415/F415</f>
        <v>68.22</v>
      </c>
      <c r="H415" s="37" t="s">
        <v>1839</v>
      </c>
      <c r="I415" s="26" t="s">
        <v>1968</v>
      </c>
      <c r="J415" s="26" t="s">
        <v>1969</v>
      </c>
      <c r="K415" s="26" t="s">
        <v>1970</v>
      </c>
      <c r="L415" s="39" t="s">
        <v>22</v>
      </c>
      <c r="M415" s="8">
        <f>COUNTIF($B$1:$B$1191, B415)</f>
        <v>3</v>
      </c>
      <c r="N415" s="8">
        <f>COUNTIF($H$2:$H$1181, H415)</f>
        <v>121</v>
      </c>
    </row>
    <row r="416" spans="1:14">
      <c r="A416" s="29" t="s">
        <v>1971</v>
      </c>
      <c r="B416" s="30" t="s">
        <v>1972</v>
      </c>
      <c r="C416" s="30" t="s">
        <v>1973</v>
      </c>
      <c r="D416" s="31">
        <v>76.400000000000006</v>
      </c>
      <c r="E416" s="31">
        <v>540.29</v>
      </c>
      <c r="F416" s="30">
        <v>56</v>
      </c>
      <c r="G416" s="34">
        <f>E416/F416</f>
        <v>9.6480357142857134</v>
      </c>
      <c r="H416" s="36" t="s">
        <v>1839</v>
      </c>
      <c r="I416" s="30" t="s">
        <v>1974</v>
      </c>
      <c r="J416" s="30" t="s">
        <v>1975</v>
      </c>
      <c r="K416" s="30" t="s">
        <v>1976</v>
      </c>
      <c r="L416" s="38" t="s">
        <v>153</v>
      </c>
      <c r="M416" s="8">
        <f>COUNTIF($B$1:$B$1191, B416)</f>
        <v>1</v>
      </c>
      <c r="N416" s="8">
        <f>COUNTIF($H$2:$H$1181, H416)</f>
        <v>121</v>
      </c>
    </row>
    <row r="417" spans="1:14">
      <c r="A417" s="32" t="s">
        <v>1977</v>
      </c>
      <c r="B417" s="26" t="s">
        <v>1423</v>
      </c>
      <c r="C417" s="26" t="s">
        <v>1424</v>
      </c>
      <c r="D417" s="33">
        <v>65.489999999999995</v>
      </c>
      <c r="E417" s="33">
        <v>92.78</v>
      </c>
      <c r="F417" s="26">
        <v>18</v>
      </c>
      <c r="G417" s="35">
        <f>E417/F417</f>
        <v>5.1544444444444446</v>
      </c>
      <c r="H417" s="37" t="s">
        <v>1839</v>
      </c>
      <c r="I417" s="26" t="s">
        <v>1978</v>
      </c>
      <c r="J417" s="26" t="s">
        <v>1979</v>
      </c>
      <c r="K417" s="26" t="s">
        <v>1980</v>
      </c>
      <c r="L417" s="39" t="s">
        <v>153</v>
      </c>
      <c r="M417" s="8">
        <f>COUNTIF($B$1:$B$1191, B417)</f>
        <v>4</v>
      </c>
      <c r="N417" s="8">
        <f>COUNTIF($H$2:$H$1181, H417)</f>
        <v>121</v>
      </c>
    </row>
    <row r="418" spans="1:14">
      <c r="A418" s="29" t="s">
        <v>1981</v>
      </c>
      <c r="B418" s="30" t="s">
        <v>37</v>
      </c>
      <c r="C418" s="30" t="s">
        <v>38</v>
      </c>
      <c r="D418" s="31">
        <v>136.44</v>
      </c>
      <c r="E418" s="31">
        <v>136.44</v>
      </c>
      <c r="F418" s="30">
        <v>1</v>
      </c>
      <c r="G418" s="34">
        <f>E418/F418</f>
        <v>136.44</v>
      </c>
      <c r="H418" s="36" t="s">
        <v>1839</v>
      </c>
      <c r="I418" s="30" t="s">
        <v>1982</v>
      </c>
      <c r="J418" s="30" t="s">
        <v>1983</v>
      </c>
      <c r="K418" s="30" t="s">
        <v>1984</v>
      </c>
      <c r="L418" s="38" t="s">
        <v>22</v>
      </c>
      <c r="M418" s="8">
        <f>COUNTIF($B$1:$B$1191, B418)</f>
        <v>11</v>
      </c>
      <c r="N418" s="8">
        <f>COUNTIF($H$2:$H$1181, H418)</f>
        <v>121</v>
      </c>
    </row>
    <row r="419" spans="1:14">
      <c r="A419" s="32" t="s">
        <v>1985</v>
      </c>
      <c r="B419" s="26" t="s">
        <v>37</v>
      </c>
      <c r="C419" s="26" t="s">
        <v>38</v>
      </c>
      <c r="D419" s="33">
        <v>120.06</v>
      </c>
      <c r="E419" s="33">
        <v>120.06</v>
      </c>
      <c r="F419" s="26">
        <v>1</v>
      </c>
      <c r="G419" s="35">
        <f>E419/F419</f>
        <v>120.06</v>
      </c>
      <c r="H419" s="37" t="s">
        <v>1839</v>
      </c>
      <c r="I419" s="26" t="s">
        <v>1986</v>
      </c>
      <c r="J419" s="26" t="s">
        <v>1987</v>
      </c>
      <c r="K419" s="26" t="s">
        <v>1988</v>
      </c>
      <c r="L419" s="39" t="s">
        <v>22</v>
      </c>
      <c r="M419" s="8">
        <f>COUNTIF($B$1:$B$1191, B419)</f>
        <v>11</v>
      </c>
      <c r="N419" s="8">
        <f>COUNTIF($H$2:$H$1181, H419)</f>
        <v>121</v>
      </c>
    </row>
    <row r="420" spans="1:14">
      <c r="A420" s="29" t="s">
        <v>1989</v>
      </c>
      <c r="B420" s="30" t="s">
        <v>856</v>
      </c>
      <c r="C420" s="30" t="s">
        <v>857</v>
      </c>
      <c r="D420" s="31">
        <v>87.32</v>
      </c>
      <c r="E420" s="31">
        <v>87.32</v>
      </c>
      <c r="F420" s="30">
        <v>1</v>
      </c>
      <c r="G420" s="34">
        <f>E420/F420</f>
        <v>87.32</v>
      </c>
      <c r="H420" s="36" t="s">
        <v>1839</v>
      </c>
      <c r="I420" s="30" t="s">
        <v>1990</v>
      </c>
      <c r="J420" s="30" t="s">
        <v>1991</v>
      </c>
      <c r="K420" s="30" t="s">
        <v>1992</v>
      </c>
      <c r="L420" s="38" t="s">
        <v>22</v>
      </c>
      <c r="M420" s="8">
        <f>COUNTIF($B$1:$B$1191, B420)</f>
        <v>19</v>
      </c>
      <c r="N420" s="8">
        <f>COUNTIF($H$2:$H$1181, H420)</f>
        <v>121</v>
      </c>
    </row>
    <row r="421" spans="1:14">
      <c r="A421" s="32" t="s">
        <v>1993</v>
      </c>
      <c r="B421" s="26" t="s">
        <v>465</v>
      </c>
      <c r="C421" s="26" t="s">
        <v>466</v>
      </c>
      <c r="D421" s="33">
        <v>81.86</v>
      </c>
      <c r="E421" s="33">
        <v>81.86</v>
      </c>
      <c r="F421" s="26">
        <v>1</v>
      </c>
      <c r="G421" s="35">
        <f>E421/F421</f>
        <v>81.86</v>
      </c>
      <c r="H421" s="37" t="s">
        <v>1839</v>
      </c>
      <c r="I421" s="26" t="s">
        <v>1994</v>
      </c>
      <c r="J421" s="26" t="s">
        <v>1995</v>
      </c>
      <c r="K421" s="26" t="s">
        <v>1996</v>
      </c>
      <c r="L421" s="39" t="s">
        <v>22</v>
      </c>
      <c r="M421" s="8">
        <f>COUNTIF($B$1:$B$1191, B421)</f>
        <v>8</v>
      </c>
      <c r="N421" s="8">
        <f>COUNTIF($H$2:$H$1181, H421)</f>
        <v>121</v>
      </c>
    </row>
    <row r="422" spans="1:14">
      <c r="A422" s="29" t="s">
        <v>1997</v>
      </c>
      <c r="B422" s="30" t="s">
        <v>379</v>
      </c>
      <c r="C422" s="30" t="s">
        <v>379</v>
      </c>
      <c r="D422" s="31">
        <v>114.61</v>
      </c>
      <c r="E422" s="31">
        <v>114.61</v>
      </c>
      <c r="F422" s="30">
        <v>2</v>
      </c>
      <c r="G422" s="34">
        <f>E422/F422</f>
        <v>57.305</v>
      </c>
      <c r="H422" s="36" t="s">
        <v>1839</v>
      </c>
      <c r="I422" s="30" t="s">
        <v>1998</v>
      </c>
      <c r="J422" s="30" t="s">
        <v>1999</v>
      </c>
      <c r="K422" s="30" t="s">
        <v>2000</v>
      </c>
      <c r="L422" s="38" t="s">
        <v>22</v>
      </c>
      <c r="M422" s="8">
        <f>COUNTIF($B$1:$B$1191, B422)</f>
        <v>19</v>
      </c>
      <c r="N422" s="8">
        <f>COUNTIF($H$2:$H$1181, H422)</f>
        <v>121</v>
      </c>
    </row>
    <row r="423" spans="1:14">
      <c r="A423" s="32" t="s">
        <v>2001</v>
      </c>
      <c r="B423" s="26" t="s">
        <v>88</v>
      </c>
      <c r="C423" s="26" t="s">
        <v>89</v>
      </c>
      <c r="D423" s="33">
        <v>87.32</v>
      </c>
      <c r="E423" s="33">
        <v>87.32</v>
      </c>
      <c r="F423" s="26">
        <v>1</v>
      </c>
      <c r="G423" s="35">
        <f>E423/F423</f>
        <v>87.32</v>
      </c>
      <c r="H423" s="37" t="s">
        <v>1839</v>
      </c>
      <c r="I423" s="26" t="s">
        <v>2002</v>
      </c>
      <c r="J423" s="26" t="s">
        <v>2003</v>
      </c>
      <c r="K423" s="26" t="s">
        <v>2004</v>
      </c>
      <c r="L423" s="39" t="s">
        <v>22</v>
      </c>
      <c r="M423" s="8">
        <f>COUNTIF($B$1:$B$1191, B423)</f>
        <v>4</v>
      </c>
      <c r="N423" s="8">
        <f>COUNTIF($H$2:$H$1181, H423)</f>
        <v>121</v>
      </c>
    </row>
    <row r="424" spans="1:14">
      <c r="A424" s="29" t="s">
        <v>2005</v>
      </c>
      <c r="B424" s="30" t="s">
        <v>2006</v>
      </c>
      <c r="C424" s="30" t="s">
        <v>2007</v>
      </c>
      <c r="D424" s="31">
        <v>81.86</v>
      </c>
      <c r="E424" s="31">
        <v>81.86</v>
      </c>
      <c r="F424" s="30">
        <v>1</v>
      </c>
      <c r="G424" s="34">
        <f>E424/F424</f>
        <v>81.86</v>
      </c>
      <c r="H424" s="36" t="s">
        <v>1839</v>
      </c>
      <c r="I424" s="30" t="s">
        <v>2008</v>
      </c>
      <c r="J424" s="30" t="s">
        <v>2009</v>
      </c>
      <c r="K424" s="30" t="s">
        <v>2010</v>
      </c>
      <c r="L424" s="38" t="s">
        <v>22</v>
      </c>
      <c r="M424" s="8">
        <f>COUNTIF($B$1:$B$1191, B424)</f>
        <v>1</v>
      </c>
      <c r="N424" s="8">
        <f>COUNTIF($H$2:$H$1181, H424)</f>
        <v>121</v>
      </c>
    </row>
    <row r="425" spans="1:14">
      <c r="A425" s="32" t="s">
        <v>2011</v>
      </c>
      <c r="B425" s="26" t="s">
        <v>1156</v>
      </c>
      <c r="C425" s="26" t="s">
        <v>1157</v>
      </c>
      <c r="D425" s="33">
        <v>98.23</v>
      </c>
      <c r="E425" s="33">
        <v>98.23</v>
      </c>
      <c r="F425" s="26">
        <v>1</v>
      </c>
      <c r="G425" s="35">
        <f>E425/F425</f>
        <v>98.23</v>
      </c>
      <c r="H425" s="37" t="s">
        <v>1839</v>
      </c>
      <c r="I425" s="26" t="s">
        <v>2012</v>
      </c>
      <c r="J425" s="26" t="s">
        <v>2013</v>
      </c>
      <c r="K425" s="26" t="s">
        <v>2014</v>
      </c>
      <c r="L425" s="39" t="s">
        <v>22</v>
      </c>
      <c r="M425" s="8">
        <f>COUNTIF($B$1:$B$1191, B425)</f>
        <v>6</v>
      </c>
      <c r="N425" s="8">
        <f>COUNTIF($H$2:$H$1181, H425)</f>
        <v>121</v>
      </c>
    </row>
    <row r="426" spans="1:14">
      <c r="A426" s="29" t="s">
        <v>2015</v>
      </c>
      <c r="B426" s="30" t="s">
        <v>1329</v>
      </c>
      <c r="C426" s="30" t="s">
        <v>1330</v>
      </c>
      <c r="D426" s="31">
        <v>136.44</v>
      </c>
      <c r="E426" s="31">
        <v>136.44</v>
      </c>
      <c r="F426" s="30">
        <v>1</v>
      </c>
      <c r="G426" s="34">
        <f>E426/F426</f>
        <v>136.44</v>
      </c>
      <c r="H426" s="36" t="s">
        <v>1839</v>
      </c>
      <c r="I426" s="30" t="s">
        <v>2016</v>
      </c>
      <c r="J426" s="30" t="s">
        <v>2017</v>
      </c>
      <c r="K426" s="30" t="s">
        <v>2018</v>
      </c>
      <c r="L426" s="38" t="s">
        <v>22</v>
      </c>
      <c r="M426" s="8">
        <f>COUNTIF($B$1:$B$1191, B426)</f>
        <v>4</v>
      </c>
      <c r="N426" s="8">
        <f>COUNTIF($H$2:$H$1181, H426)</f>
        <v>121</v>
      </c>
    </row>
    <row r="427" spans="1:14">
      <c r="A427" s="32" t="s">
        <v>2019</v>
      </c>
      <c r="B427" s="26" t="s">
        <v>2020</v>
      </c>
      <c r="C427" s="26" t="s">
        <v>2021</v>
      </c>
      <c r="D427" s="33">
        <v>103.69</v>
      </c>
      <c r="E427" s="33">
        <v>103.69</v>
      </c>
      <c r="F427" s="26">
        <v>1</v>
      </c>
      <c r="G427" s="35">
        <f>E427/F427</f>
        <v>103.69</v>
      </c>
      <c r="H427" s="37" t="s">
        <v>1839</v>
      </c>
      <c r="I427" s="26" t="s">
        <v>2022</v>
      </c>
      <c r="J427" s="26" t="s">
        <v>2023</v>
      </c>
      <c r="K427" s="26" t="s">
        <v>2024</v>
      </c>
      <c r="L427" s="39" t="s">
        <v>22</v>
      </c>
      <c r="M427" s="8">
        <f>COUNTIF($B$1:$B$1191, B427)</f>
        <v>1</v>
      </c>
      <c r="N427" s="8">
        <f>COUNTIF($H$2:$H$1181, H427)</f>
        <v>121</v>
      </c>
    </row>
    <row r="428" spans="1:14">
      <c r="A428" s="29" t="s">
        <v>2025</v>
      </c>
      <c r="B428" s="30" t="s">
        <v>856</v>
      </c>
      <c r="C428" s="30" t="s">
        <v>857</v>
      </c>
      <c r="D428" s="31">
        <v>87.32</v>
      </c>
      <c r="E428" s="31">
        <v>87.32</v>
      </c>
      <c r="F428" s="30">
        <v>1</v>
      </c>
      <c r="G428" s="34">
        <f>E428/F428</f>
        <v>87.32</v>
      </c>
      <c r="H428" s="36" t="s">
        <v>1839</v>
      </c>
      <c r="I428" s="30" t="s">
        <v>2026</v>
      </c>
      <c r="J428" s="30" t="s">
        <v>2027</v>
      </c>
      <c r="K428" s="30" t="s">
        <v>2028</v>
      </c>
      <c r="L428" s="38" t="s">
        <v>22</v>
      </c>
      <c r="M428" s="8">
        <f>COUNTIF($B$1:$B$1191, B428)</f>
        <v>19</v>
      </c>
      <c r="N428" s="8">
        <f>COUNTIF($H$2:$H$1181, H428)</f>
        <v>121</v>
      </c>
    </row>
    <row r="429" spans="1:14">
      <c r="A429" s="32" t="s">
        <v>2029</v>
      </c>
      <c r="B429" s="26" t="s">
        <v>1782</v>
      </c>
      <c r="C429" s="26" t="s">
        <v>1783</v>
      </c>
      <c r="D429" s="33">
        <v>191.01</v>
      </c>
      <c r="E429" s="33">
        <v>300.16000000000003</v>
      </c>
      <c r="F429" s="26">
        <v>2</v>
      </c>
      <c r="G429" s="35">
        <f>E429/F429</f>
        <v>150.08000000000001</v>
      </c>
      <c r="H429" s="37" t="s">
        <v>1839</v>
      </c>
      <c r="I429" s="26" t="s">
        <v>2030</v>
      </c>
      <c r="J429" s="26" t="s">
        <v>2031</v>
      </c>
      <c r="K429" s="26" t="s">
        <v>2032</v>
      </c>
      <c r="L429" s="39" t="s">
        <v>22</v>
      </c>
      <c r="M429" s="8">
        <f>COUNTIF($B$1:$B$1191, B429)</f>
        <v>2</v>
      </c>
      <c r="N429" s="8">
        <f>COUNTIF($H$2:$H$1181, H429)</f>
        <v>121</v>
      </c>
    </row>
    <row r="430" spans="1:14">
      <c r="A430" s="29" t="s">
        <v>2033</v>
      </c>
      <c r="B430" s="30" t="s">
        <v>1053</v>
      </c>
      <c r="C430" s="30" t="s">
        <v>506</v>
      </c>
      <c r="D430" s="31">
        <v>136.44</v>
      </c>
      <c r="E430" s="31">
        <v>136.44</v>
      </c>
      <c r="F430" s="30">
        <v>1</v>
      </c>
      <c r="G430" s="34">
        <f>E430/F430</f>
        <v>136.44</v>
      </c>
      <c r="H430" s="36" t="s">
        <v>1839</v>
      </c>
      <c r="I430" s="30" t="s">
        <v>2034</v>
      </c>
      <c r="J430" s="30" t="s">
        <v>2035</v>
      </c>
      <c r="K430" s="30" t="s">
        <v>2036</v>
      </c>
      <c r="L430" s="38" t="s">
        <v>22</v>
      </c>
      <c r="M430" s="8">
        <f>COUNTIF($B$1:$B$1191, B430)</f>
        <v>20</v>
      </c>
      <c r="N430" s="8">
        <f>COUNTIF($H$2:$H$1181, H430)</f>
        <v>121</v>
      </c>
    </row>
    <row r="431" spans="1:14">
      <c r="A431" s="32" t="s">
        <v>2037</v>
      </c>
      <c r="B431" s="26" t="s">
        <v>277</v>
      </c>
      <c r="C431" s="26" t="s">
        <v>278</v>
      </c>
      <c r="D431" s="33">
        <v>136.44</v>
      </c>
      <c r="E431" s="33">
        <v>2455.86</v>
      </c>
      <c r="F431" s="26">
        <v>18</v>
      </c>
      <c r="G431" s="35">
        <f>E431/F431</f>
        <v>136.43666666666667</v>
      </c>
      <c r="H431" s="37" t="s">
        <v>1839</v>
      </c>
      <c r="I431" s="26" t="s">
        <v>2038</v>
      </c>
      <c r="J431" s="26" t="s">
        <v>2039</v>
      </c>
      <c r="K431" s="26" t="s">
        <v>2040</v>
      </c>
      <c r="L431" s="39" t="s">
        <v>22</v>
      </c>
      <c r="M431" s="8">
        <f>COUNTIF($B$1:$B$1191, B431)</f>
        <v>3</v>
      </c>
      <c r="N431" s="8">
        <f>COUNTIF($H$2:$H$1181, H431)</f>
        <v>121</v>
      </c>
    </row>
    <row r="432" spans="1:14">
      <c r="A432" s="29" t="s">
        <v>2041</v>
      </c>
      <c r="B432" s="30" t="s">
        <v>1053</v>
      </c>
      <c r="C432" s="30" t="s">
        <v>506</v>
      </c>
      <c r="D432" s="31">
        <v>136.44</v>
      </c>
      <c r="E432" s="31">
        <v>136.44</v>
      </c>
      <c r="F432" s="30">
        <v>1</v>
      </c>
      <c r="G432" s="34">
        <f>E432/F432</f>
        <v>136.44</v>
      </c>
      <c r="H432" s="36" t="s">
        <v>1839</v>
      </c>
      <c r="I432" s="30" t="s">
        <v>2042</v>
      </c>
      <c r="J432" s="30" t="s">
        <v>2043</v>
      </c>
      <c r="K432" s="30" t="s">
        <v>2044</v>
      </c>
      <c r="L432" s="38" t="s">
        <v>22</v>
      </c>
      <c r="M432" s="8">
        <f>COUNTIF($B$1:$B$1191, B432)</f>
        <v>20</v>
      </c>
      <c r="N432" s="8">
        <f>COUNTIF($H$2:$H$1181, H432)</f>
        <v>121</v>
      </c>
    </row>
    <row r="433" spans="1:14">
      <c r="A433" s="32" t="s">
        <v>2045</v>
      </c>
      <c r="B433" s="26" t="s">
        <v>1962</v>
      </c>
      <c r="C433" s="26" t="s">
        <v>1963</v>
      </c>
      <c r="D433" s="33">
        <v>109.15</v>
      </c>
      <c r="E433" s="33">
        <v>109.15</v>
      </c>
      <c r="F433" s="26">
        <v>1</v>
      </c>
      <c r="G433" s="35">
        <f>E433/F433</f>
        <v>109.15</v>
      </c>
      <c r="H433" s="37" t="s">
        <v>1839</v>
      </c>
      <c r="I433" s="26" t="s">
        <v>2046</v>
      </c>
      <c r="J433" s="26" t="s">
        <v>2047</v>
      </c>
      <c r="K433" s="26" t="s">
        <v>2048</v>
      </c>
      <c r="L433" s="39" t="s">
        <v>22</v>
      </c>
      <c r="M433" s="8">
        <f>COUNTIF($B$1:$B$1191, B433)</f>
        <v>3</v>
      </c>
      <c r="N433" s="8">
        <f>COUNTIF($H$2:$H$1181, H433)</f>
        <v>121</v>
      </c>
    </row>
    <row r="434" spans="1:14">
      <c r="A434" s="29" t="s">
        <v>2049</v>
      </c>
      <c r="B434" s="30" t="s">
        <v>438</v>
      </c>
      <c r="C434" s="30" t="s">
        <v>439</v>
      </c>
      <c r="D434" s="31">
        <v>87.32</v>
      </c>
      <c r="E434" s="31">
        <v>98.23</v>
      </c>
      <c r="F434" s="30">
        <v>2</v>
      </c>
      <c r="G434" s="34">
        <f>E434/F434</f>
        <v>49.115000000000002</v>
      </c>
      <c r="H434" s="36" t="s">
        <v>1839</v>
      </c>
      <c r="I434" s="30" t="s">
        <v>2050</v>
      </c>
      <c r="J434" s="30" t="s">
        <v>2051</v>
      </c>
      <c r="K434" s="30" t="s">
        <v>2052</v>
      </c>
      <c r="L434" s="38" t="s">
        <v>22</v>
      </c>
      <c r="M434" s="8">
        <f>COUNTIF($B$1:$B$1191, B434)</f>
        <v>14</v>
      </c>
      <c r="N434" s="8">
        <f>COUNTIF($H$2:$H$1181, H434)</f>
        <v>121</v>
      </c>
    </row>
    <row r="435" spans="1:14">
      <c r="A435" s="32" t="s">
        <v>2053</v>
      </c>
      <c r="B435" s="26" t="s">
        <v>856</v>
      </c>
      <c r="C435" s="26" t="s">
        <v>857</v>
      </c>
      <c r="D435" s="33">
        <v>87.32</v>
      </c>
      <c r="E435" s="33">
        <v>87.32</v>
      </c>
      <c r="F435" s="26">
        <v>1</v>
      </c>
      <c r="G435" s="35">
        <f>E435/F435</f>
        <v>87.32</v>
      </c>
      <c r="H435" s="37" t="s">
        <v>1839</v>
      </c>
      <c r="I435" s="26" t="s">
        <v>2054</v>
      </c>
      <c r="J435" s="26" t="s">
        <v>2055</v>
      </c>
      <c r="K435" s="26" t="s">
        <v>2056</v>
      </c>
      <c r="L435" s="39" t="s">
        <v>22</v>
      </c>
      <c r="M435" s="8">
        <f>COUNTIF($B$1:$B$1191, B435)</f>
        <v>19</v>
      </c>
      <c r="N435" s="8">
        <f>COUNTIF($H$2:$H$1181, H435)</f>
        <v>121</v>
      </c>
    </row>
    <row r="436" spans="1:14">
      <c r="A436" s="29" t="s">
        <v>2057</v>
      </c>
      <c r="B436" s="30" t="s">
        <v>2058</v>
      </c>
      <c r="C436" s="30" t="s">
        <v>2059</v>
      </c>
      <c r="D436" s="31">
        <v>81.86</v>
      </c>
      <c r="E436" s="31">
        <v>81.86</v>
      </c>
      <c r="F436" s="30">
        <v>2</v>
      </c>
      <c r="G436" s="34">
        <f>E436/F436</f>
        <v>40.93</v>
      </c>
      <c r="H436" s="36" t="s">
        <v>1839</v>
      </c>
      <c r="I436" s="30" t="s">
        <v>2060</v>
      </c>
      <c r="J436" s="30" t="s">
        <v>2061</v>
      </c>
      <c r="K436" s="30" t="s">
        <v>2062</v>
      </c>
      <c r="L436" s="38" t="s">
        <v>22</v>
      </c>
      <c r="M436" s="8">
        <f>COUNTIF($B$1:$B$1191, B436)</f>
        <v>2</v>
      </c>
      <c r="N436" s="8">
        <f>COUNTIF($H$2:$H$1181, H436)</f>
        <v>121</v>
      </c>
    </row>
    <row r="437" spans="1:14">
      <c r="A437" s="32" t="s">
        <v>2063</v>
      </c>
      <c r="B437" s="26" t="s">
        <v>465</v>
      </c>
      <c r="C437" s="26" t="s">
        <v>466</v>
      </c>
      <c r="D437" s="33">
        <v>81.86</v>
      </c>
      <c r="E437" s="33">
        <v>81.86</v>
      </c>
      <c r="F437" s="26">
        <v>1</v>
      </c>
      <c r="G437" s="35">
        <f>E437/F437</f>
        <v>81.86</v>
      </c>
      <c r="H437" s="37" t="s">
        <v>1839</v>
      </c>
      <c r="I437" s="26" t="s">
        <v>2064</v>
      </c>
      <c r="J437" s="26" t="s">
        <v>2065</v>
      </c>
      <c r="K437" s="26" t="s">
        <v>2066</v>
      </c>
      <c r="L437" s="39" t="s">
        <v>22</v>
      </c>
      <c r="M437" s="8">
        <f>COUNTIF($B$1:$B$1191, B437)</f>
        <v>8</v>
      </c>
      <c r="N437" s="8">
        <f>COUNTIF($H$2:$H$1181, H437)</f>
        <v>121</v>
      </c>
    </row>
    <row r="438" spans="1:14">
      <c r="A438" s="29" t="s">
        <v>2067</v>
      </c>
      <c r="B438" s="30" t="s">
        <v>753</v>
      </c>
      <c r="C438" s="30" t="s">
        <v>754</v>
      </c>
      <c r="D438" s="31">
        <v>81.86</v>
      </c>
      <c r="E438" s="31">
        <v>81.86</v>
      </c>
      <c r="F438" s="30">
        <v>1</v>
      </c>
      <c r="G438" s="34">
        <f>E438/F438</f>
        <v>81.86</v>
      </c>
      <c r="H438" s="36" t="s">
        <v>1839</v>
      </c>
      <c r="I438" s="30" t="s">
        <v>2068</v>
      </c>
      <c r="J438" s="30" t="s">
        <v>2069</v>
      </c>
      <c r="K438" s="30" t="s">
        <v>2070</v>
      </c>
      <c r="L438" s="38" t="s">
        <v>22</v>
      </c>
      <c r="M438" s="8">
        <f>COUNTIF($B$1:$B$1191, B438)</f>
        <v>24</v>
      </c>
      <c r="N438" s="8">
        <f>COUNTIF($H$2:$H$1181, H438)</f>
        <v>121</v>
      </c>
    </row>
    <row r="439" spans="1:14">
      <c r="A439" s="32" t="s">
        <v>2071</v>
      </c>
      <c r="B439" s="26" t="s">
        <v>2072</v>
      </c>
      <c r="C439" s="26" t="s">
        <v>2073</v>
      </c>
      <c r="D439" s="33">
        <v>76.400000000000006</v>
      </c>
      <c r="E439" s="33">
        <v>103.69</v>
      </c>
      <c r="F439" s="26">
        <v>2</v>
      </c>
      <c r="G439" s="35">
        <f>E439/F439</f>
        <v>51.844999999999999</v>
      </c>
      <c r="H439" s="37" t="s">
        <v>1839</v>
      </c>
      <c r="I439" s="26" t="s">
        <v>2074</v>
      </c>
      <c r="J439" s="26" t="s">
        <v>2075</v>
      </c>
      <c r="K439" s="26" t="s">
        <v>2076</v>
      </c>
      <c r="L439" s="39" t="s">
        <v>22</v>
      </c>
      <c r="M439" s="8">
        <f>COUNTIF($B$1:$B$1191, B439)</f>
        <v>2</v>
      </c>
      <c r="N439" s="8">
        <f>COUNTIF($H$2:$H$1181, H439)</f>
        <v>121</v>
      </c>
    </row>
    <row r="440" spans="1:14">
      <c r="A440" s="29" t="s">
        <v>2077</v>
      </c>
      <c r="B440" s="30" t="s">
        <v>1860</v>
      </c>
      <c r="C440" s="30" t="s">
        <v>1861</v>
      </c>
      <c r="D440" s="31">
        <v>103.69</v>
      </c>
      <c r="E440" s="31">
        <v>103.69</v>
      </c>
      <c r="F440" s="30">
        <v>1</v>
      </c>
      <c r="G440" s="34">
        <f>E440/F440</f>
        <v>103.69</v>
      </c>
      <c r="H440" s="36" t="s">
        <v>1839</v>
      </c>
      <c r="I440" s="30" t="s">
        <v>2078</v>
      </c>
      <c r="J440" s="30" t="s">
        <v>2079</v>
      </c>
      <c r="K440" s="30" t="s">
        <v>2080</v>
      </c>
      <c r="L440" s="38" t="s">
        <v>22</v>
      </c>
      <c r="M440" s="8">
        <f>COUNTIF($B$1:$B$1191, B440)</f>
        <v>2</v>
      </c>
      <c r="N440" s="8">
        <f>COUNTIF($H$2:$H$1181, H440)</f>
        <v>121</v>
      </c>
    </row>
    <row r="441" spans="1:14">
      <c r="A441" s="32" t="s">
        <v>2081</v>
      </c>
      <c r="B441" s="26" t="s">
        <v>37</v>
      </c>
      <c r="C441" s="26" t="s">
        <v>38</v>
      </c>
      <c r="D441" s="33">
        <v>114.61</v>
      </c>
      <c r="E441" s="33">
        <v>114.61</v>
      </c>
      <c r="F441" s="26">
        <v>1</v>
      </c>
      <c r="G441" s="35">
        <f>E441/F441</f>
        <v>114.61</v>
      </c>
      <c r="H441" s="37" t="s">
        <v>1839</v>
      </c>
      <c r="I441" s="26" t="s">
        <v>2082</v>
      </c>
      <c r="J441" s="26" t="s">
        <v>2083</v>
      </c>
      <c r="K441" s="26" t="s">
        <v>2084</v>
      </c>
      <c r="L441" s="39" t="s">
        <v>22</v>
      </c>
      <c r="M441" s="8">
        <f>COUNTIF($B$1:$B$1191, B441)</f>
        <v>11</v>
      </c>
      <c r="N441" s="8">
        <f>COUNTIF($H$2:$H$1181, H441)</f>
        <v>121</v>
      </c>
    </row>
    <row r="442" spans="1:14">
      <c r="A442" s="29" t="s">
        <v>2085</v>
      </c>
      <c r="B442" s="30" t="s">
        <v>753</v>
      </c>
      <c r="C442" s="30" t="s">
        <v>754</v>
      </c>
      <c r="D442" s="31">
        <v>81.86</v>
      </c>
      <c r="E442" s="31">
        <v>81.86</v>
      </c>
      <c r="F442" s="30">
        <v>1</v>
      </c>
      <c r="G442" s="34">
        <f>E442/F442</f>
        <v>81.86</v>
      </c>
      <c r="H442" s="36" t="s">
        <v>1839</v>
      </c>
      <c r="I442" s="30" t="s">
        <v>2086</v>
      </c>
      <c r="J442" s="30" t="s">
        <v>2087</v>
      </c>
      <c r="K442" s="30" t="s">
        <v>2088</v>
      </c>
      <c r="L442" s="38" t="s">
        <v>22</v>
      </c>
      <c r="M442" s="8">
        <f>COUNTIF($B$1:$B$1191, B442)</f>
        <v>24</v>
      </c>
      <c r="N442" s="8">
        <f>COUNTIF($H$2:$H$1181, H442)</f>
        <v>121</v>
      </c>
    </row>
    <row r="443" spans="1:14">
      <c r="A443" s="52" t="s">
        <v>2089</v>
      </c>
      <c r="B443" s="53" t="s">
        <v>65</v>
      </c>
      <c r="C443" s="53" t="s">
        <v>66</v>
      </c>
      <c r="D443" s="54">
        <v>103.69</v>
      </c>
      <c r="E443" s="54">
        <v>120.06</v>
      </c>
      <c r="F443" s="53">
        <v>2</v>
      </c>
      <c r="G443" s="55">
        <f>E443/F443</f>
        <v>60.03</v>
      </c>
      <c r="H443" s="56" t="s">
        <v>1839</v>
      </c>
      <c r="I443" s="53" t="s">
        <v>2090</v>
      </c>
      <c r="J443" s="53" t="s">
        <v>2091</v>
      </c>
      <c r="K443" s="53" t="s">
        <v>2092</v>
      </c>
      <c r="L443" s="57" t="s">
        <v>22</v>
      </c>
      <c r="M443" s="8">
        <f>COUNTIF($B$1:$B$1191, B443)</f>
        <v>9</v>
      </c>
      <c r="N443" s="8">
        <f>COUNTIF($H$2:$H$1181, H443)</f>
        <v>121</v>
      </c>
    </row>
    <row r="444" spans="1:14">
      <c r="A444" s="29" t="s">
        <v>2093</v>
      </c>
      <c r="B444" s="30" t="s">
        <v>971</v>
      </c>
      <c r="C444" s="30" t="s">
        <v>972</v>
      </c>
      <c r="D444" s="31">
        <v>81.91</v>
      </c>
      <c r="E444" s="31">
        <v>81.91</v>
      </c>
      <c r="F444" s="30">
        <v>1</v>
      </c>
      <c r="G444" s="34">
        <f>E444/F444</f>
        <v>81.91</v>
      </c>
      <c r="H444" s="36" t="s">
        <v>1839</v>
      </c>
      <c r="I444" s="30" t="s">
        <v>2094</v>
      </c>
      <c r="J444" s="30" t="s">
        <v>2095</v>
      </c>
      <c r="K444" s="30" t="s">
        <v>2096</v>
      </c>
      <c r="L444" s="38" t="s">
        <v>22</v>
      </c>
      <c r="M444" s="8">
        <f>COUNTIF($B$1:$B$1191, B444)</f>
        <v>6</v>
      </c>
      <c r="N444" s="8">
        <f>COUNTIF($H$2:$H$1181, H444)</f>
        <v>121</v>
      </c>
    </row>
    <row r="445" spans="1:14">
      <c r="A445" s="32" t="s">
        <v>2097</v>
      </c>
      <c r="B445" s="26" t="s">
        <v>2098</v>
      </c>
      <c r="C445" s="26" t="s">
        <v>2099</v>
      </c>
      <c r="D445" s="33">
        <v>409.55</v>
      </c>
      <c r="E445" s="33">
        <v>1365.18</v>
      </c>
      <c r="F445" s="26">
        <v>20</v>
      </c>
      <c r="G445" s="35">
        <f>E445/F445</f>
        <v>68.259</v>
      </c>
      <c r="H445" s="37" t="s">
        <v>1839</v>
      </c>
      <c r="I445" s="26" t="s">
        <v>2100</v>
      </c>
      <c r="J445" s="26" t="s">
        <v>2101</v>
      </c>
      <c r="K445" s="26" t="s">
        <v>2102</v>
      </c>
      <c r="L445" s="39" t="s">
        <v>22</v>
      </c>
      <c r="M445" s="8">
        <f>COUNTIF($B$1:$B$1191, B445)</f>
        <v>1</v>
      </c>
      <c r="N445" s="8">
        <f>COUNTIF($H$2:$H$1181, H445)</f>
        <v>121</v>
      </c>
    </row>
    <row r="446" spans="1:14">
      <c r="A446" s="29" t="s">
        <v>2103</v>
      </c>
      <c r="B446" s="30" t="s">
        <v>2104</v>
      </c>
      <c r="C446" s="30" t="s">
        <v>2105</v>
      </c>
      <c r="D446" s="31">
        <v>158.36000000000001</v>
      </c>
      <c r="E446" s="31">
        <v>158.36000000000001</v>
      </c>
      <c r="F446" s="30">
        <v>1</v>
      </c>
      <c r="G446" s="34">
        <f>E446/F446</f>
        <v>158.36000000000001</v>
      </c>
      <c r="H446" s="36" t="s">
        <v>1839</v>
      </c>
      <c r="I446" s="30" t="s">
        <v>2106</v>
      </c>
      <c r="J446" s="30" t="s">
        <v>2107</v>
      </c>
      <c r="K446" s="30" t="s">
        <v>2108</v>
      </c>
      <c r="L446" s="38" t="s">
        <v>22</v>
      </c>
      <c r="M446" s="8">
        <f>COUNTIF($B$1:$B$1191, B446)</f>
        <v>2</v>
      </c>
      <c r="N446" s="8">
        <f>COUNTIF($H$2:$H$1181, H446)</f>
        <v>121</v>
      </c>
    </row>
    <row r="447" spans="1:14">
      <c r="A447" s="32" t="s">
        <v>2109</v>
      </c>
      <c r="B447" s="26" t="s">
        <v>1870</v>
      </c>
      <c r="C447" s="26" t="s">
        <v>1870</v>
      </c>
      <c r="D447" s="33">
        <v>158.36000000000001</v>
      </c>
      <c r="E447" s="33">
        <v>158.36000000000001</v>
      </c>
      <c r="F447" s="26">
        <v>1</v>
      </c>
      <c r="G447" s="35">
        <f>E447/F447</f>
        <v>158.36000000000001</v>
      </c>
      <c r="H447" s="37" t="s">
        <v>1839</v>
      </c>
      <c r="I447" s="26" t="s">
        <v>2110</v>
      </c>
      <c r="J447" s="26" t="s">
        <v>2111</v>
      </c>
      <c r="K447" s="26" t="s">
        <v>2112</v>
      </c>
      <c r="L447" s="39" t="s">
        <v>22</v>
      </c>
      <c r="M447" s="8">
        <f>COUNTIF($B$1:$B$1191, B447)</f>
        <v>4</v>
      </c>
      <c r="N447" s="8">
        <f>COUNTIF($H$2:$H$1181, H447)</f>
        <v>121</v>
      </c>
    </row>
    <row r="448" spans="1:14">
      <c r="A448" s="29" t="s">
        <v>2113</v>
      </c>
      <c r="B448" s="30" t="s">
        <v>1870</v>
      </c>
      <c r="C448" s="30" t="s">
        <v>1870</v>
      </c>
      <c r="D448" s="31">
        <v>158.36000000000001</v>
      </c>
      <c r="E448" s="31">
        <v>158.36000000000001</v>
      </c>
      <c r="F448" s="30">
        <v>1</v>
      </c>
      <c r="G448" s="34">
        <f>E448/F448</f>
        <v>158.36000000000001</v>
      </c>
      <c r="H448" s="36" t="s">
        <v>1839</v>
      </c>
      <c r="I448" s="30" t="s">
        <v>2114</v>
      </c>
      <c r="J448" s="30" t="s">
        <v>2115</v>
      </c>
      <c r="K448" s="30" t="s">
        <v>2116</v>
      </c>
      <c r="L448" s="38" t="s">
        <v>22</v>
      </c>
      <c r="M448" s="8">
        <f>COUNTIF($B$1:$B$1191, B448)</f>
        <v>4</v>
      </c>
      <c r="N448" s="8">
        <f>COUNTIF($H$2:$H$1181, H448)</f>
        <v>121</v>
      </c>
    </row>
    <row r="449" spans="1:14">
      <c r="A449" s="32" t="s">
        <v>2117</v>
      </c>
      <c r="B449" s="26" t="s">
        <v>2118</v>
      </c>
      <c r="C449" s="26" t="s">
        <v>2118</v>
      </c>
      <c r="D449" s="33">
        <v>136.52000000000001</v>
      </c>
      <c r="E449" s="33">
        <v>486.01</v>
      </c>
      <c r="F449" s="26">
        <v>8</v>
      </c>
      <c r="G449" s="35">
        <f>E449/F449</f>
        <v>60.751249999999999</v>
      </c>
      <c r="H449" s="37" t="s">
        <v>1839</v>
      </c>
      <c r="I449" s="26" t="s">
        <v>2119</v>
      </c>
      <c r="J449" s="26" t="s">
        <v>2120</v>
      </c>
      <c r="K449" s="26" t="s">
        <v>2121</v>
      </c>
      <c r="L449" s="39" t="s">
        <v>22</v>
      </c>
      <c r="M449" s="8">
        <f>COUNTIF($B$1:$B$1191, B449)</f>
        <v>1</v>
      </c>
      <c r="N449" s="8">
        <f>COUNTIF($H$2:$H$1181, H449)</f>
        <v>121</v>
      </c>
    </row>
    <row r="450" spans="1:14">
      <c r="A450" s="29" t="s">
        <v>2122</v>
      </c>
      <c r="B450" s="30" t="s">
        <v>1178</v>
      </c>
      <c r="C450" s="30" t="s">
        <v>1179</v>
      </c>
      <c r="D450" s="31">
        <v>136.52000000000001</v>
      </c>
      <c r="E450" s="31">
        <v>136.52000000000001</v>
      </c>
      <c r="F450" s="30">
        <v>1</v>
      </c>
      <c r="G450" s="34">
        <f>E450/F450</f>
        <v>136.52000000000001</v>
      </c>
      <c r="H450" s="36" t="s">
        <v>1839</v>
      </c>
      <c r="I450" s="30" t="s">
        <v>2123</v>
      </c>
      <c r="J450" s="30" t="s">
        <v>2124</v>
      </c>
      <c r="K450" s="30" t="s">
        <v>2125</v>
      </c>
      <c r="L450" s="38" t="s">
        <v>22</v>
      </c>
      <c r="M450" s="8">
        <f>COUNTIF($B$1:$B$1191, B450)</f>
        <v>4</v>
      </c>
      <c r="N450" s="8">
        <f>COUNTIF($H$2:$H$1181, H450)</f>
        <v>121</v>
      </c>
    </row>
    <row r="451" spans="1:14">
      <c r="A451" s="32" t="s">
        <v>2126</v>
      </c>
      <c r="B451" s="26" t="s">
        <v>222</v>
      </c>
      <c r="C451" s="26" t="s">
        <v>223</v>
      </c>
      <c r="D451" s="33">
        <v>131.06</v>
      </c>
      <c r="E451" s="33">
        <v>131.06</v>
      </c>
      <c r="F451" s="26">
        <v>2</v>
      </c>
      <c r="G451" s="35">
        <f>E451/F451</f>
        <v>65.53</v>
      </c>
      <c r="H451" s="37" t="s">
        <v>1839</v>
      </c>
      <c r="I451" s="26" t="s">
        <v>2127</v>
      </c>
      <c r="J451" s="26" t="s">
        <v>2128</v>
      </c>
      <c r="K451" s="26" t="s">
        <v>2129</v>
      </c>
      <c r="L451" s="39" t="s">
        <v>22</v>
      </c>
      <c r="M451" s="8">
        <f>COUNTIF($B$1:$B$1191, B451)</f>
        <v>11</v>
      </c>
      <c r="N451" s="8">
        <f>COUNTIF($H$2:$H$1181, H451)</f>
        <v>121</v>
      </c>
    </row>
    <row r="452" spans="1:14">
      <c r="A452" s="29" t="s">
        <v>2130</v>
      </c>
      <c r="B452" s="30" t="s">
        <v>1697</v>
      </c>
      <c r="C452" s="30" t="s">
        <v>1697</v>
      </c>
      <c r="D452" s="31">
        <v>109.21</v>
      </c>
      <c r="E452" s="31">
        <v>109.21</v>
      </c>
      <c r="F452" s="30">
        <v>1</v>
      </c>
      <c r="G452" s="34">
        <f>E452/F452</f>
        <v>109.21</v>
      </c>
      <c r="H452" s="36" t="s">
        <v>1839</v>
      </c>
      <c r="I452" s="30" t="s">
        <v>2131</v>
      </c>
      <c r="J452" s="30" t="s">
        <v>2132</v>
      </c>
      <c r="K452" s="30" t="s">
        <v>2133</v>
      </c>
      <c r="L452" s="38" t="s">
        <v>22</v>
      </c>
      <c r="M452" s="8">
        <f>COUNTIF($B$1:$B$1191, B452)</f>
        <v>2</v>
      </c>
      <c r="N452" s="8">
        <f>COUNTIF($H$2:$H$1181, H452)</f>
        <v>121</v>
      </c>
    </row>
    <row r="453" spans="1:14">
      <c r="A453" s="32" t="s">
        <v>2134</v>
      </c>
      <c r="B453" s="26" t="s">
        <v>1184</v>
      </c>
      <c r="C453" s="26" t="s">
        <v>1185</v>
      </c>
      <c r="D453" s="33">
        <v>103.75</v>
      </c>
      <c r="E453" s="33">
        <v>103.75</v>
      </c>
      <c r="F453" s="26">
        <v>1</v>
      </c>
      <c r="G453" s="35">
        <f>E453/F453</f>
        <v>103.75</v>
      </c>
      <c r="H453" s="37" t="s">
        <v>1839</v>
      </c>
      <c r="I453" s="26" t="s">
        <v>2135</v>
      </c>
      <c r="J453" s="26" t="s">
        <v>2136</v>
      </c>
      <c r="K453" s="26" t="s">
        <v>2137</v>
      </c>
      <c r="L453" s="39" t="s">
        <v>153</v>
      </c>
      <c r="M453" s="8">
        <f>COUNTIF($B$1:$B$1191, B453)</f>
        <v>4</v>
      </c>
      <c r="N453" s="8">
        <f>COUNTIF($H$2:$H$1181, H453)</f>
        <v>121</v>
      </c>
    </row>
    <row r="454" spans="1:14">
      <c r="A454" s="29" t="s">
        <v>2138</v>
      </c>
      <c r="B454" s="30" t="s">
        <v>2139</v>
      </c>
      <c r="C454" s="30" t="s">
        <v>2140</v>
      </c>
      <c r="D454" s="31">
        <v>103.75</v>
      </c>
      <c r="E454" s="31">
        <v>103.75</v>
      </c>
      <c r="F454" s="30">
        <v>1</v>
      </c>
      <c r="G454" s="34">
        <f>E454/F454</f>
        <v>103.75</v>
      </c>
      <c r="H454" s="36" t="s">
        <v>1839</v>
      </c>
      <c r="I454" s="30" t="s">
        <v>2141</v>
      </c>
      <c r="J454" s="30" t="s">
        <v>2142</v>
      </c>
      <c r="K454" s="30" t="s">
        <v>2143</v>
      </c>
      <c r="L454" s="38" t="s">
        <v>22</v>
      </c>
      <c r="M454" s="8">
        <f>COUNTIF($B$1:$B$1191, B454)</f>
        <v>1</v>
      </c>
      <c r="N454" s="8">
        <f>COUNTIF($H$2:$H$1181, H454)</f>
        <v>121</v>
      </c>
    </row>
    <row r="455" spans="1:14">
      <c r="A455" s="32" t="s">
        <v>2144</v>
      </c>
      <c r="B455" s="26" t="s">
        <v>2145</v>
      </c>
      <c r="C455" s="26" t="s">
        <v>2146</v>
      </c>
      <c r="D455" s="33">
        <v>98.29</v>
      </c>
      <c r="E455" s="33">
        <v>114.68</v>
      </c>
      <c r="F455" s="26">
        <v>5</v>
      </c>
      <c r="G455" s="35">
        <f>E455/F455</f>
        <v>22.936</v>
      </c>
      <c r="H455" s="37" t="s">
        <v>1839</v>
      </c>
      <c r="I455" s="26" t="s">
        <v>2147</v>
      </c>
      <c r="J455" s="26" t="s">
        <v>2148</v>
      </c>
      <c r="K455" s="26" t="s">
        <v>2149</v>
      </c>
      <c r="L455" s="39" t="s">
        <v>22</v>
      </c>
      <c r="M455" s="8">
        <f>COUNTIF($B$1:$B$1191, B455)</f>
        <v>1</v>
      </c>
      <c r="N455" s="8">
        <f>COUNTIF($H$2:$H$1181, H455)</f>
        <v>121</v>
      </c>
    </row>
    <row r="456" spans="1:14">
      <c r="A456" s="29" t="s">
        <v>2150</v>
      </c>
      <c r="B456" s="30" t="s">
        <v>1962</v>
      </c>
      <c r="C456" s="30" t="s">
        <v>1963</v>
      </c>
      <c r="D456" s="31">
        <v>98.29</v>
      </c>
      <c r="E456" s="31">
        <v>98.29</v>
      </c>
      <c r="F456" s="30">
        <v>1</v>
      </c>
      <c r="G456" s="34">
        <f>E456/F456</f>
        <v>98.29</v>
      </c>
      <c r="H456" s="36" t="s">
        <v>1839</v>
      </c>
      <c r="I456" s="30" t="s">
        <v>2151</v>
      </c>
      <c r="J456" s="30" t="s">
        <v>2152</v>
      </c>
      <c r="K456" s="30" t="s">
        <v>2153</v>
      </c>
      <c r="L456" s="38" t="s">
        <v>22</v>
      </c>
      <c r="M456" s="8">
        <f>COUNTIF($B$1:$B$1191, B456)</f>
        <v>3</v>
      </c>
      <c r="N456" s="8">
        <f>COUNTIF($H$2:$H$1181, H456)</f>
        <v>121</v>
      </c>
    </row>
    <row r="457" spans="1:14">
      <c r="A457" s="32" t="s">
        <v>2154</v>
      </c>
      <c r="B457" s="26" t="s">
        <v>438</v>
      </c>
      <c r="C457" s="26" t="s">
        <v>439</v>
      </c>
      <c r="D457" s="33">
        <v>87.37</v>
      </c>
      <c r="E457" s="33">
        <v>98.29</v>
      </c>
      <c r="F457" s="26">
        <v>2</v>
      </c>
      <c r="G457" s="35">
        <f>E457/F457</f>
        <v>49.145000000000003</v>
      </c>
      <c r="H457" s="37" t="s">
        <v>1839</v>
      </c>
      <c r="I457" s="26" t="s">
        <v>2155</v>
      </c>
      <c r="J457" s="26" t="s">
        <v>2156</v>
      </c>
      <c r="K457" s="26" t="s">
        <v>2157</v>
      </c>
      <c r="L457" s="39" t="s">
        <v>22</v>
      </c>
      <c r="M457" s="8">
        <f>COUNTIF($B$1:$B$1191, B457)</f>
        <v>14</v>
      </c>
      <c r="N457" s="8">
        <f>COUNTIF($H$2:$H$1181, H457)</f>
        <v>121</v>
      </c>
    </row>
    <row r="458" spans="1:14">
      <c r="A458" s="29" t="s">
        <v>2158</v>
      </c>
      <c r="B458" s="30" t="s">
        <v>2159</v>
      </c>
      <c r="C458" s="30" t="s">
        <v>2160</v>
      </c>
      <c r="D458" s="31">
        <v>87.37</v>
      </c>
      <c r="E458" s="31">
        <v>92.83</v>
      </c>
      <c r="F458" s="30">
        <v>2</v>
      </c>
      <c r="G458" s="34">
        <f>E458/F458</f>
        <v>46.414999999999999</v>
      </c>
      <c r="H458" s="36" t="s">
        <v>1839</v>
      </c>
      <c r="I458" s="30" t="s">
        <v>2161</v>
      </c>
      <c r="J458" s="30" t="s">
        <v>2162</v>
      </c>
      <c r="K458" s="30" t="s">
        <v>2163</v>
      </c>
      <c r="L458" s="38" t="s">
        <v>22</v>
      </c>
      <c r="M458" s="8">
        <f>COUNTIF($B$1:$B$1191, B458)</f>
        <v>4</v>
      </c>
      <c r="N458" s="8">
        <f>COUNTIF($H$2:$H$1181, H458)</f>
        <v>121</v>
      </c>
    </row>
    <row r="459" spans="1:14">
      <c r="A459" s="32" t="s">
        <v>2164</v>
      </c>
      <c r="B459" s="26" t="s">
        <v>856</v>
      </c>
      <c r="C459" s="26" t="s">
        <v>857</v>
      </c>
      <c r="D459" s="33">
        <v>87.37</v>
      </c>
      <c r="E459" s="33">
        <v>87.37</v>
      </c>
      <c r="F459" s="26">
        <v>1</v>
      </c>
      <c r="G459" s="35">
        <f>E459/F459</f>
        <v>87.37</v>
      </c>
      <c r="H459" s="37" t="s">
        <v>1839</v>
      </c>
      <c r="I459" s="26" t="s">
        <v>2165</v>
      </c>
      <c r="J459" s="26" t="s">
        <v>2166</v>
      </c>
      <c r="K459" s="26" t="s">
        <v>2167</v>
      </c>
      <c r="L459" s="39" t="s">
        <v>22</v>
      </c>
      <c r="M459" s="8">
        <f>COUNTIF($B$1:$B$1191, B459)</f>
        <v>19</v>
      </c>
      <c r="N459" s="8">
        <f>COUNTIF($H$2:$H$1181, H459)</f>
        <v>121</v>
      </c>
    </row>
    <row r="460" spans="1:14">
      <c r="A460" s="29" t="s">
        <v>2168</v>
      </c>
      <c r="B460" s="30" t="s">
        <v>856</v>
      </c>
      <c r="C460" s="30" t="s">
        <v>857</v>
      </c>
      <c r="D460" s="31">
        <v>87.37</v>
      </c>
      <c r="E460" s="31">
        <v>87.37</v>
      </c>
      <c r="F460" s="30">
        <v>1</v>
      </c>
      <c r="G460" s="34">
        <f>E460/F460</f>
        <v>87.37</v>
      </c>
      <c r="H460" s="36" t="s">
        <v>1839</v>
      </c>
      <c r="I460" s="30" t="s">
        <v>2169</v>
      </c>
      <c r="J460" s="30" t="s">
        <v>2170</v>
      </c>
      <c r="K460" s="30" t="s">
        <v>2171</v>
      </c>
      <c r="L460" s="38" t="s">
        <v>22</v>
      </c>
      <c r="M460" s="8">
        <f>COUNTIF($B$1:$B$1191, B460)</f>
        <v>19</v>
      </c>
      <c r="N460" s="8">
        <f>COUNTIF($H$2:$H$1181, H460)</f>
        <v>121</v>
      </c>
    </row>
    <row r="461" spans="1:14">
      <c r="A461" s="32" t="s">
        <v>2172</v>
      </c>
      <c r="B461" s="26" t="s">
        <v>856</v>
      </c>
      <c r="C461" s="26" t="s">
        <v>857</v>
      </c>
      <c r="D461" s="33">
        <v>87.37</v>
      </c>
      <c r="E461" s="33">
        <v>87.37</v>
      </c>
      <c r="F461" s="26">
        <v>1</v>
      </c>
      <c r="G461" s="35">
        <f>E461/F461</f>
        <v>87.37</v>
      </c>
      <c r="H461" s="37" t="s">
        <v>1839</v>
      </c>
      <c r="I461" s="26" t="s">
        <v>2173</v>
      </c>
      <c r="J461" s="26" t="s">
        <v>2174</v>
      </c>
      <c r="K461" s="26" t="s">
        <v>2175</v>
      </c>
      <c r="L461" s="39" t="s">
        <v>22</v>
      </c>
      <c r="M461" s="8">
        <f>COUNTIF($B$1:$B$1191, B461)</f>
        <v>19</v>
      </c>
      <c r="N461" s="8">
        <f>COUNTIF($H$2:$H$1181, H461)</f>
        <v>121</v>
      </c>
    </row>
    <row r="462" spans="1:14">
      <c r="A462" s="29" t="s">
        <v>2176</v>
      </c>
      <c r="B462" s="30" t="s">
        <v>2058</v>
      </c>
      <c r="C462" s="30" t="s">
        <v>2059</v>
      </c>
      <c r="D462" s="31">
        <v>81.91</v>
      </c>
      <c r="E462" s="31">
        <v>81.91</v>
      </c>
      <c r="F462" s="30">
        <v>2</v>
      </c>
      <c r="G462" s="34">
        <f>E462/F462</f>
        <v>40.954999999999998</v>
      </c>
      <c r="H462" s="36" t="s">
        <v>1839</v>
      </c>
      <c r="I462" s="30" t="s">
        <v>2177</v>
      </c>
      <c r="J462" s="30" t="s">
        <v>2178</v>
      </c>
      <c r="K462" s="30" t="s">
        <v>2179</v>
      </c>
      <c r="L462" s="38" t="s">
        <v>22</v>
      </c>
      <c r="M462" s="8">
        <f>COUNTIF($B$1:$B$1191, B462)</f>
        <v>2</v>
      </c>
      <c r="N462" s="8">
        <f>COUNTIF($H$2:$H$1181, H462)</f>
        <v>121</v>
      </c>
    </row>
    <row r="463" spans="1:14">
      <c r="A463" s="32" t="s">
        <v>2180</v>
      </c>
      <c r="B463" s="26" t="s">
        <v>578</v>
      </c>
      <c r="C463" s="26" t="s">
        <v>579</v>
      </c>
      <c r="D463" s="33">
        <v>81.91</v>
      </c>
      <c r="E463" s="33">
        <v>81.91</v>
      </c>
      <c r="F463" s="26">
        <v>1</v>
      </c>
      <c r="G463" s="35">
        <f>E463/F463</f>
        <v>81.91</v>
      </c>
      <c r="H463" s="37" t="s">
        <v>1839</v>
      </c>
      <c r="I463" s="26" t="s">
        <v>2181</v>
      </c>
      <c r="J463" s="26" t="s">
        <v>2182</v>
      </c>
      <c r="K463" s="26" t="s">
        <v>2183</v>
      </c>
      <c r="L463" s="39" t="s">
        <v>22</v>
      </c>
      <c r="M463" s="8">
        <f>COUNTIF($B$1:$B$1191, B463)</f>
        <v>8</v>
      </c>
      <c r="N463" s="8">
        <f>COUNTIF($H$2:$H$1181, H463)</f>
        <v>121</v>
      </c>
    </row>
    <row r="464" spans="1:14">
      <c r="A464" s="29" t="s">
        <v>2184</v>
      </c>
      <c r="B464" s="30" t="s">
        <v>2185</v>
      </c>
      <c r="C464" s="30" t="s">
        <v>2186</v>
      </c>
      <c r="D464" s="31">
        <v>49.15</v>
      </c>
      <c r="E464" s="31">
        <v>158.36000000000001</v>
      </c>
      <c r="F464" s="30">
        <v>6</v>
      </c>
      <c r="G464" s="34">
        <f>E464/F464</f>
        <v>26.393333333333334</v>
      </c>
      <c r="H464" s="36" t="s">
        <v>1839</v>
      </c>
      <c r="I464" s="30" t="s">
        <v>2187</v>
      </c>
      <c r="J464" s="30" t="s">
        <v>2188</v>
      </c>
      <c r="K464" s="30" t="s">
        <v>2189</v>
      </c>
      <c r="L464" s="38" t="s">
        <v>22</v>
      </c>
      <c r="M464" s="8">
        <f>COUNTIF($B$1:$B$1191, B464)</f>
        <v>1</v>
      </c>
      <c r="N464" s="8">
        <f>COUNTIF($H$2:$H$1181, H464)</f>
        <v>121</v>
      </c>
    </row>
    <row r="465" spans="1:14">
      <c r="A465" s="32" t="s">
        <v>2190</v>
      </c>
      <c r="B465" s="26" t="s">
        <v>2191</v>
      </c>
      <c r="C465" s="26" t="s">
        <v>2192</v>
      </c>
      <c r="D465" s="33">
        <v>103.75</v>
      </c>
      <c r="E465" s="33">
        <v>103.75</v>
      </c>
      <c r="F465" s="26">
        <v>1</v>
      </c>
      <c r="G465" s="35">
        <f>E465/F465</f>
        <v>103.75</v>
      </c>
      <c r="H465" s="37" t="s">
        <v>1839</v>
      </c>
      <c r="I465" s="26" t="s">
        <v>2193</v>
      </c>
      <c r="J465" s="26" t="s">
        <v>2194</v>
      </c>
      <c r="K465" s="26" t="s">
        <v>2195</v>
      </c>
      <c r="L465" s="39" t="s">
        <v>22</v>
      </c>
      <c r="M465" s="8">
        <f>COUNTIF($B$1:$B$1191, B465)</f>
        <v>2</v>
      </c>
      <c r="N465" s="8">
        <f>COUNTIF($H$2:$H$1181, H465)</f>
        <v>121</v>
      </c>
    </row>
    <row r="466" spans="1:14">
      <c r="A466" s="29" t="s">
        <v>2196</v>
      </c>
      <c r="B466" s="30" t="s">
        <v>2197</v>
      </c>
      <c r="C466" s="30" t="s">
        <v>2197</v>
      </c>
      <c r="D466" s="31">
        <v>98.29</v>
      </c>
      <c r="E466" s="31">
        <v>120.14</v>
      </c>
      <c r="F466" s="30">
        <v>2</v>
      </c>
      <c r="G466" s="34">
        <f>E466/F466</f>
        <v>60.07</v>
      </c>
      <c r="H466" s="36" t="s">
        <v>1839</v>
      </c>
      <c r="I466" s="30" t="s">
        <v>2198</v>
      </c>
      <c r="J466" s="30" t="s">
        <v>2199</v>
      </c>
      <c r="K466" s="30" t="s">
        <v>2200</v>
      </c>
      <c r="L466" s="38" t="s">
        <v>22</v>
      </c>
      <c r="M466" s="8">
        <f>COUNTIF($B$1:$B$1191, B466)</f>
        <v>2</v>
      </c>
      <c r="N466" s="8">
        <f>COUNTIF($H$2:$H$1181, H466)</f>
        <v>121</v>
      </c>
    </row>
    <row r="467" spans="1:14">
      <c r="A467" s="32" t="s">
        <v>2201</v>
      </c>
      <c r="B467" s="26" t="s">
        <v>1053</v>
      </c>
      <c r="C467" s="26" t="s">
        <v>506</v>
      </c>
      <c r="D467" s="33">
        <v>136.52000000000001</v>
      </c>
      <c r="E467" s="33">
        <v>136.52000000000001</v>
      </c>
      <c r="F467" s="26">
        <v>1</v>
      </c>
      <c r="G467" s="35">
        <f>E467/F467</f>
        <v>136.52000000000001</v>
      </c>
      <c r="H467" s="37" t="s">
        <v>1839</v>
      </c>
      <c r="I467" s="26" t="s">
        <v>2202</v>
      </c>
      <c r="J467" s="26" t="s">
        <v>2203</v>
      </c>
      <c r="K467" s="26" t="s">
        <v>2204</v>
      </c>
      <c r="L467" s="39" t="s">
        <v>22</v>
      </c>
      <c r="M467" s="8">
        <f>COUNTIF($B$1:$B$1191, B467)</f>
        <v>20</v>
      </c>
      <c r="N467" s="8">
        <f>COUNTIF($H$2:$H$1181, H467)</f>
        <v>121</v>
      </c>
    </row>
    <row r="468" spans="1:14">
      <c r="A468" s="29" t="s">
        <v>2205</v>
      </c>
      <c r="B468" s="30" t="s">
        <v>1053</v>
      </c>
      <c r="C468" s="30" t="s">
        <v>506</v>
      </c>
      <c r="D468" s="31">
        <v>136.52000000000001</v>
      </c>
      <c r="E468" s="31">
        <v>136.52000000000001</v>
      </c>
      <c r="F468" s="30">
        <v>1</v>
      </c>
      <c r="G468" s="34">
        <f>E468/F468</f>
        <v>136.52000000000001</v>
      </c>
      <c r="H468" s="36" t="s">
        <v>1839</v>
      </c>
      <c r="I468" s="30" t="s">
        <v>2206</v>
      </c>
      <c r="J468" s="30" t="s">
        <v>2207</v>
      </c>
      <c r="K468" s="30" t="s">
        <v>2208</v>
      </c>
      <c r="L468" s="38" t="s">
        <v>22</v>
      </c>
      <c r="M468" s="8">
        <f>COUNTIF($B$1:$B$1191, B468)</f>
        <v>20</v>
      </c>
      <c r="N468" s="8">
        <f>COUNTIF($H$2:$H$1181, H468)</f>
        <v>121</v>
      </c>
    </row>
    <row r="469" spans="1:14">
      <c r="A469" s="32" t="s">
        <v>2209</v>
      </c>
      <c r="B469" s="26" t="s">
        <v>1329</v>
      </c>
      <c r="C469" s="26" t="s">
        <v>1330</v>
      </c>
      <c r="D469" s="33">
        <v>131.06</v>
      </c>
      <c r="E469" s="33">
        <v>131.06</v>
      </c>
      <c r="F469" s="26">
        <v>1</v>
      </c>
      <c r="G469" s="35">
        <f>E469/F469</f>
        <v>131.06</v>
      </c>
      <c r="H469" s="37" t="s">
        <v>1839</v>
      </c>
      <c r="I469" s="26" t="s">
        <v>2210</v>
      </c>
      <c r="J469" s="26" t="s">
        <v>2211</v>
      </c>
      <c r="K469" s="26" t="s">
        <v>2212</v>
      </c>
      <c r="L469" s="39" t="s">
        <v>22</v>
      </c>
      <c r="M469" s="8">
        <f>COUNTIF($B$1:$B$1191, B469)</f>
        <v>4</v>
      </c>
      <c r="N469" s="8">
        <f>COUNTIF($H$2:$H$1181, H469)</f>
        <v>121</v>
      </c>
    </row>
    <row r="470" spans="1:14">
      <c r="A470" s="29" t="s">
        <v>2213</v>
      </c>
      <c r="B470" s="30" t="s">
        <v>37</v>
      </c>
      <c r="C470" s="30" t="s">
        <v>38</v>
      </c>
      <c r="D470" s="31">
        <v>109.21</v>
      </c>
      <c r="E470" s="31">
        <v>109.21</v>
      </c>
      <c r="F470" s="30">
        <v>1</v>
      </c>
      <c r="G470" s="34">
        <f>E470/F470</f>
        <v>109.21</v>
      </c>
      <c r="H470" s="36" t="s">
        <v>1839</v>
      </c>
      <c r="I470" s="30" t="s">
        <v>2214</v>
      </c>
      <c r="J470" s="30" t="s">
        <v>2215</v>
      </c>
      <c r="K470" s="30" t="s">
        <v>2216</v>
      </c>
      <c r="L470" s="38" t="s">
        <v>22</v>
      </c>
      <c r="M470" s="8">
        <f>COUNTIF($B$1:$B$1191, B470)</f>
        <v>11</v>
      </c>
      <c r="N470" s="8">
        <f>COUNTIF($H$2:$H$1181, H470)</f>
        <v>121</v>
      </c>
    </row>
    <row r="471" spans="1:14">
      <c r="A471" s="32" t="s">
        <v>2217</v>
      </c>
      <c r="B471" s="26" t="s">
        <v>37</v>
      </c>
      <c r="C471" s="26" t="s">
        <v>38</v>
      </c>
      <c r="D471" s="33">
        <v>131.06</v>
      </c>
      <c r="E471" s="33">
        <v>131.06</v>
      </c>
      <c r="F471" s="26">
        <v>1</v>
      </c>
      <c r="G471" s="35">
        <f>E471/F471</f>
        <v>131.06</v>
      </c>
      <c r="H471" s="37" t="s">
        <v>1839</v>
      </c>
      <c r="I471" s="26" t="s">
        <v>2218</v>
      </c>
      <c r="J471" s="26" t="s">
        <v>2219</v>
      </c>
      <c r="K471" s="26" t="s">
        <v>2220</v>
      </c>
      <c r="L471" s="39" t="s">
        <v>22</v>
      </c>
      <c r="M471" s="8">
        <f>COUNTIF($B$1:$B$1191, B471)</f>
        <v>11</v>
      </c>
      <c r="N471" s="8">
        <f>COUNTIF($H$2:$H$1181, H471)</f>
        <v>121</v>
      </c>
    </row>
    <row r="472" spans="1:14">
      <c r="A472" s="29" t="s">
        <v>2221</v>
      </c>
      <c r="B472" s="30" t="s">
        <v>789</v>
      </c>
      <c r="C472" s="30" t="s">
        <v>790</v>
      </c>
      <c r="D472" s="31">
        <v>103.75</v>
      </c>
      <c r="E472" s="31">
        <v>103.75</v>
      </c>
      <c r="F472" s="30">
        <v>1</v>
      </c>
      <c r="G472" s="34">
        <f>E472/F472</f>
        <v>103.75</v>
      </c>
      <c r="H472" s="36" t="s">
        <v>1839</v>
      </c>
      <c r="I472" s="30" t="s">
        <v>2222</v>
      </c>
      <c r="J472" s="30" t="s">
        <v>2223</v>
      </c>
      <c r="K472" s="30" t="s">
        <v>2224</v>
      </c>
      <c r="L472" s="38" t="s">
        <v>22</v>
      </c>
      <c r="M472" s="8">
        <f>COUNTIF($B$1:$B$1191, B472)</f>
        <v>3</v>
      </c>
      <c r="N472" s="8">
        <f>COUNTIF($H$2:$H$1181, H472)</f>
        <v>121</v>
      </c>
    </row>
    <row r="473" spans="1:14">
      <c r="A473" s="32" t="s">
        <v>2225</v>
      </c>
      <c r="B473" s="26" t="s">
        <v>753</v>
      </c>
      <c r="C473" s="26" t="s">
        <v>754</v>
      </c>
      <c r="D473" s="33">
        <v>81.91</v>
      </c>
      <c r="E473" s="33">
        <v>81.91</v>
      </c>
      <c r="F473" s="26">
        <v>1</v>
      </c>
      <c r="G473" s="35">
        <f>E473/F473</f>
        <v>81.91</v>
      </c>
      <c r="H473" s="37" t="s">
        <v>1839</v>
      </c>
      <c r="I473" s="26" t="s">
        <v>2226</v>
      </c>
      <c r="J473" s="26" t="s">
        <v>2227</v>
      </c>
      <c r="K473" s="26" t="s">
        <v>2228</v>
      </c>
      <c r="L473" s="39" t="s">
        <v>22</v>
      </c>
      <c r="M473" s="8">
        <f>COUNTIF($B$1:$B$1191, B473)</f>
        <v>24</v>
      </c>
      <c r="N473" s="8">
        <f>COUNTIF($H$2:$H$1181, H473)</f>
        <v>121</v>
      </c>
    </row>
    <row r="474" spans="1:14">
      <c r="A474" s="29" t="s">
        <v>2229</v>
      </c>
      <c r="B474" s="30" t="s">
        <v>1227</v>
      </c>
      <c r="C474" s="30" t="s">
        <v>1228</v>
      </c>
      <c r="D474" s="31">
        <v>81.91</v>
      </c>
      <c r="E474" s="31">
        <v>81.91</v>
      </c>
      <c r="F474" s="30">
        <v>1</v>
      </c>
      <c r="G474" s="34">
        <f>E474/F474</f>
        <v>81.91</v>
      </c>
      <c r="H474" s="36" t="s">
        <v>1839</v>
      </c>
      <c r="I474" s="30" t="s">
        <v>2230</v>
      </c>
      <c r="J474" s="30" t="s">
        <v>2231</v>
      </c>
      <c r="K474" s="30" t="s">
        <v>2232</v>
      </c>
      <c r="L474" s="38" t="s">
        <v>22</v>
      </c>
      <c r="M474" s="8">
        <f>COUNTIF($B$1:$B$1191, B474)</f>
        <v>5</v>
      </c>
      <c r="N474" s="8">
        <f>COUNTIF($H$2:$H$1181, H474)</f>
        <v>121</v>
      </c>
    </row>
    <row r="475" spans="1:14">
      <c r="A475" s="32" t="s">
        <v>2233</v>
      </c>
      <c r="B475" s="26" t="s">
        <v>606</v>
      </c>
      <c r="C475" s="26" t="s">
        <v>607</v>
      </c>
      <c r="D475" s="33">
        <v>136.52000000000001</v>
      </c>
      <c r="E475" s="33">
        <v>136.52000000000001</v>
      </c>
      <c r="F475" s="26">
        <v>1</v>
      </c>
      <c r="G475" s="35">
        <f>E475/F475</f>
        <v>136.52000000000001</v>
      </c>
      <c r="H475" s="37" t="s">
        <v>1839</v>
      </c>
      <c r="I475" s="26" t="s">
        <v>2234</v>
      </c>
      <c r="J475" s="26" t="s">
        <v>2235</v>
      </c>
      <c r="K475" s="26" t="s">
        <v>2236</v>
      </c>
      <c r="L475" s="39" t="s">
        <v>22</v>
      </c>
      <c r="M475" s="8">
        <f>COUNTIF($B$1:$B$1191, B475)</f>
        <v>6</v>
      </c>
      <c r="N475" s="8">
        <f>COUNTIF($H$2:$H$1181, H475)</f>
        <v>121</v>
      </c>
    </row>
    <row r="476" spans="1:14">
      <c r="A476" s="29" t="s">
        <v>2237</v>
      </c>
      <c r="B476" s="30" t="s">
        <v>578</v>
      </c>
      <c r="C476" s="30" t="s">
        <v>579</v>
      </c>
      <c r="D476" s="31">
        <v>81.91</v>
      </c>
      <c r="E476" s="31">
        <v>81.91</v>
      </c>
      <c r="F476" s="30">
        <v>1</v>
      </c>
      <c r="G476" s="34">
        <f>E476/F476</f>
        <v>81.91</v>
      </c>
      <c r="H476" s="36" t="s">
        <v>1839</v>
      </c>
      <c r="I476" s="30" t="s">
        <v>2238</v>
      </c>
      <c r="J476" s="30" t="s">
        <v>2239</v>
      </c>
      <c r="K476" s="30" t="s">
        <v>2240</v>
      </c>
      <c r="L476" s="38" t="s">
        <v>22</v>
      </c>
      <c r="M476" s="8">
        <f>COUNTIF($B$1:$B$1191, B476)</f>
        <v>8</v>
      </c>
      <c r="N476" s="8">
        <f>COUNTIF($H$2:$H$1181, H476)</f>
        <v>121</v>
      </c>
    </row>
    <row r="477" spans="1:14">
      <c r="A477" s="32" t="s">
        <v>2241</v>
      </c>
      <c r="B477" s="26" t="s">
        <v>346</v>
      </c>
      <c r="C477" s="26" t="s">
        <v>347</v>
      </c>
      <c r="D477" s="33">
        <v>76.45</v>
      </c>
      <c r="E477" s="33">
        <v>76.45</v>
      </c>
      <c r="F477" s="26">
        <v>1</v>
      </c>
      <c r="G477" s="35">
        <f>E477/F477</f>
        <v>76.45</v>
      </c>
      <c r="H477" s="37" t="s">
        <v>1839</v>
      </c>
      <c r="I477" s="26" t="s">
        <v>2242</v>
      </c>
      <c r="J477" s="26" t="s">
        <v>2243</v>
      </c>
      <c r="K477" s="26" t="s">
        <v>2244</v>
      </c>
      <c r="L477" s="39" t="s">
        <v>22</v>
      </c>
      <c r="M477" s="8">
        <f>COUNTIF($B$1:$B$1191, B477)</f>
        <v>11</v>
      </c>
      <c r="N477" s="8">
        <f>COUNTIF($H$2:$H$1181, H477)</f>
        <v>121</v>
      </c>
    </row>
    <row r="478" spans="1:14">
      <c r="A478" s="29" t="s">
        <v>2245</v>
      </c>
      <c r="B478" s="30" t="s">
        <v>2246</v>
      </c>
      <c r="C478" s="30" t="s">
        <v>2247</v>
      </c>
      <c r="D478" s="31">
        <v>393.17</v>
      </c>
      <c r="E478" s="31">
        <v>393.17</v>
      </c>
      <c r="F478" s="30">
        <v>1</v>
      </c>
      <c r="G478" s="34">
        <f>E478/F478</f>
        <v>393.17</v>
      </c>
      <c r="H478" s="36" t="s">
        <v>1839</v>
      </c>
      <c r="I478" s="30" t="s">
        <v>2248</v>
      </c>
      <c r="J478" s="30" t="s">
        <v>2249</v>
      </c>
      <c r="K478" s="30" t="s">
        <v>2250</v>
      </c>
      <c r="L478" s="38" t="s">
        <v>22</v>
      </c>
      <c r="M478" s="8">
        <f>COUNTIF($B$1:$B$1191, B478)</f>
        <v>2</v>
      </c>
      <c r="N478" s="8">
        <f>COUNTIF($H$2:$H$1181, H478)</f>
        <v>121</v>
      </c>
    </row>
    <row r="479" spans="1:14">
      <c r="A479" s="32" t="s">
        <v>2251</v>
      </c>
      <c r="B479" s="26" t="s">
        <v>2104</v>
      </c>
      <c r="C479" s="26" t="s">
        <v>2105</v>
      </c>
      <c r="D479" s="33">
        <v>158.36000000000001</v>
      </c>
      <c r="E479" s="33">
        <v>158.36000000000001</v>
      </c>
      <c r="F479" s="26">
        <v>1</v>
      </c>
      <c r="G479" s="35">
        <f>E479/F479</f>
        <v>158.36000000000001</v>
      </c>
      <c r="H479" s="37" t="s">
        <v>1839</v>
      </c>
      <c r="I479" s="26" t="s">
        <v>2252</v>
      </c>
      <c r="J479" s="26" t="s">
        <v>2253</v>
      </c>
      <c r="K479" s="26" t="s">
        <v>2254</v>
      </c>
      <c r="L479" s="39" t="s">
        <v>22</v>
      </c>
      <c r="M479" s="8">
        <f>COUNTIF($B$1:$B$1191, B479)</f>
        <v>2</v>
      </c>
      <c r="N479" s="8">
        <f>COUNTIF($H$2:$H$1181, H479)</f>
        <v>121</v>
      </c>
    </row>
    <row r="480" spans="1:14">
      <c r="A480" s="29" t="s">
        <v>2255</v>
      </c>
      <c r="B480" s="30" t="s">
        <v>133</v>
      </c>
      <c r="C480" s="30" t="s">
        <v>134</v>
      </c>
      <c r="D480" s="31">
        <v>120.14</v>
      </c>
      <c r="E480" s="31">
        <v>120.14</v>
      </c>
      <c r="F480" s="30">
        <v>1</v>
      </c>
      <c r="G480" s="34">
        <f>E480/F480</f>
        <v>120.14</v>
      </c>
      <c r="H480" s="36" t="s">
        <v>1839</v>
      </c>
      <c r="I480" s="30" t="s">
        <v>2256</v>
      </c>
      <c r="J480" s="30" t="s">
        <v>2257</v>
      </c>
      <c r="K480" s="30" t="s">
        <v>2258</v>
      </c>
      <c r="L480" s="38" t="s">
        <v>22</v>
      </c>
      <c r="M480" s="8">
        <f>COUNTIF($B$1:$B$1191, B480)</f>
        <v>3</v>
      </c>
      <c r="N480" s="8">
        <f>COUNTIF($H$2:$H$1181, H480)</f>
        <v>121</v>
      </c>
    </row>
    <row r="481" spans="1:14">
      <c r="A481" s="32" t="s">
        <v>2259</v>
      </c>
      <c r="B481" s="26" t="s">
        <v>719</v>
      </c>
      <c r="C481" s="26" t="s">
        <v>720</v>
      </c>
      <c r="D481" s="33">
        <v>109.21</v>
      </c>
      <c r="E481" s="33">
        <v>109.21</v>
      </c>
      <c r="F481" s="26">
        <v>1</v>
      </c>
      <c r="G481" s="35">
        <f>E481/F481</f>
        <v>109.21</v>
      </c>
      <c r="H481" s="37" t="s">
        <v>1839</v>
      </c>
      <c r="I481" s="26" t="s">
        <v>2260</v>
      </c>
      <c r="J481" s="26" t="s">
        <v>2261</v>
      </c>
      <c r="K481" s="26" t="s">
        <v>2262</v>
      </c>
      <c r="L481" s="39" t="s">
        <v>22</v>
      </c>
      <c r="M481" s="8">
        <f>COUNTIF($B$1:$B$1191, B481)</f>
        <v>4</v>
      </c>
      <c r="N481" s="8">
        <f>COUNTIF($H$2:$H$1181, H481)</f>
        <v>121</v>
      </c>
    </row>
    <row r="482" spans="1:14">
      <c r="A482" s="29" t="s">
        <v>2263</v>
      </c>
      <c r="B482" s="30" t="s">
        <v>2264</v>
      </c>
      <c r="C482" s="30" t="s">
        <v>2265</v>
      </c>
      <c r="D482" s="31">
        <v>103.75</v>
      </c>
      <c r="E482" s="31">
        <v>114.68</v>
      </c>
      <c r="F482" s="30">
        <v>3</v>
      </c>
      <c r="G482" s="34">
        <f>E482/F482</f>
        <v>38.226666666666667</v>
      </c>
      <c r="H482" s="36" t="s">
        <v>1839</v>
      </c>
      <c r="I482" s="30" t="s">
        <v>2266</v>
      </c>
      <c r="J482" s="30" t="s">
        <v>2267</v>
      </c>
      <c r="K482" s="30" t="s">
        <v>2268</v>
      </c>
      <c r="L482" s="38" t="s">
        <v>22</v>
      </c>
      <c r="M482" s="8">
        <f>COUNTIF($B$1:$B$1191, B482)</f>
        <v>2</v>
      </c>
      <c r="N482" s="8">
        <f>COUNTIF($H$2:$H$1181, H482)</f>
        <v>121</v>
      </c>
    </row>
    <row r="483" spans="1:14">
      <c r="A483" s="32" t="s">
        <v>2269</v>
      </c>
      <c r="B483" s="26" t="s">
        <v>2270</v>
      </c>
      <c r="C483" s="26" t="s">
        <v>2271</v>
      </c>
      <c r="D483" s="33">
        <v>103.75</v>
      </c>
      <c r="E483" s="33">
        <v>212.97</v>
      </c>
      <c r="F483" s="26">
        <v>3</v>
      </c>
      <c r="G483" s="35">
        <f>E483/F483</f>
        <v>70.989999999999995</v>
      </c>
      <c r="H483" s="37" t="s">
        <v>1839</v>
      </c>
      <c r="I483" s="26" t="s">
        <v>2272</v>
      </c>
      <c r="J483" s="26" t="s">
        <v>2273</v>
      </c>
      <c r="K483" s="26" t="s">
        <v>2274</v>
      </c>
      <c r="L483" s="39" t="s">
        <v>22</v>
      </c>
      <c r="M483" s="8">
        <f>COUNTIF($B$1:$B$1191, B483)</f>
        <v>1</v>
      </c>
      <c r="N483" s="8">
        <f>COUNTIF($H$2:$H$1181, H483)</f>
        <v>121</v>
      </c>
    </row>
    <row r="484" spans="1:14">
      <c r="A484" s="29" t="s">
        <v>2275</v>
      </c>
      <c r="B484" s="30" t="s">
        <v>1184</v>
      </c>
      <c r="C484" s="30" t="s">
        <v>1185</v>
      </c>
      <c r="D484" s="31">
        <v>103.75</v>
      </c>
      <c r="E484" s="31">
        <v>322.18</v>
      </c>
      <c r="F484" s="30">
        <v>15</v>
      </c>
      <c r="G484" s="34">
        <f>E484/F484</f>
        <v>21.478666666666665</v>
      </c>
      <c r="H484" s="36" t="s">
        <v>1839</v>
      </c>
      <c r="I484" s="30" t="s">
        <v>2276</v>
      </c>
      <c r="J484" s="30" t="s">
        <v>2277</v>
      </c>
      <c r="K484" s="30" t="s">
        <v>2278</v>
      </c>
      <c r="L484" s="38" t="s">
        <v>153</v>
      </c>
      <c r="M484" s="8">
        <f>COUNTIF($B$1:$B$1191, B484)</f>
        <v>4</v>
      </c>
      <c r="N484" s="8">
        <f>COUNTIF($H$2:$H$1181, H484)</f>
        <v>121</v>
      </c>
    </row>
    <row r="485" spans="1:14">
      <c r="A485" s="32" t="s">
        <v>2279</v>
      </c>
      <c r="B485" s="26" t="s">
        <v>1482</v>
      </c>
      <c r="C485" s="26" t="s">
        <v>211</v>
      </c>
      <c r="D485" s="33">
        <v>92.83</v>
      </c>
      <c r="E485" s="33">
        <v>92.83</v>
      </c>
      <c r="F485" s="26">
        <v>1</v>
      </c>
      <c r="G485" s="35">
        <f>E485/F485</f>
        <v>92.83</v>
      </c>
      <c r="H485" s="37" t="s">
        <v>1839</v>
      </c>
      <c r="I485" s="26" t="s">
        <v>2280</v>
      </c>
      <c r="J485" s="26" t="s">
        <v>2281</v>
      </c>
      <c r="K485" s="26" t="s">
        <v>2282</v>
      </c>
      <c r="L485" s="39" t="s">
        <v>22</v>
      </c>
      <c r="M485" s="8">
        <f>COUNTIF($B$1:$B$1191, B485)</f>
        <v>4</v>
      </c>
      <c r="N485" s="8">
        <f>COUNTIF($H$2:$H$1181, H485)</f>
        <v>121</v>
      </c>
    </row>
    <row r="486" spans="1:14">
      <c r="A486" s="29" t="s">
        <v>2283</v>
      </c>
      <c r="B486" s="30" t="s">
        <v>2284</v>
      </c>
      <c r="C486" s="30" t="s">
        <v>2285</v>
      </c>
      <c r="D486" s="31">
        <v>92.83</v>
      </c>
      <c r="E486" s="31">
        <v>109.21</v>
      </c>
      <c r="F486" s="30">
        <v>2</v>
      </c>
      <c r="G486" s="34">
        <f>E486/F486</f>
        <v>54.604999999999997</v>
      </c>
      <c r="H486" s="36" t="s">
        <v>1839</v>
      </c>
      <c r="I486" s="30" t="s">
        <v>2286</v>
      </c>
      <c r="J486" s="30" t="s">
        <v>2287</v>
      </c>
      <c r="K486" s="30" t="s">
        <v>2288</v>
      </c>
      <c r="L486" s="38" t="s">
        <v>22</v>
      </c>
      <c r="M486" s="8">
        <f>COUNTIF($B$1:$B$1191, B486)</f>
        <v>1</v>
      </c>
      <c r="N486" s="8">
        <f>COUNTIF($H$2:$H$1181, H486)</f>
        <v>121</v>
      </c>
    </row>
    <row r="487" spans="1:14">
      <c r="A487" s="32" t="s">
        <v>2289</v>
      </c>
      <c r="B487" s="26" t="s">
        <v>438</v>
      </c>
      <c r="C487" s="26" t="s">
        <v>439</v>
      </c>
      <c r="D487" s="33">
        <v>87.37</v>
      </c>
      <c r="E487" s="33">
        <v>98.29</v>
      </c>
      <c r="F487" s="26">
        <v>2</v>
      </c>
      <c r="G487" s="35">
        <f>E487/F487</f>
        <v>49.145000000000003</v>
      </c>
      <c r="H487" s="37" t="s">
        <v>1839</v>
      </c>
      <c r="I487" s="26" t="s">
        <v>2290</v>
      </c>
      <c r="J487" s="26" t="s">
        <v>2291</v>
      </c>
      <c r="K487" s="26" t="s">
        <v>2292</v>
      </c>
      <c r="L487" s="39" t="s">
        <v>22</v>
      </c>
      <c r="M487" s="8">
        <f>COUNTIF($B$1:$B$1191, B487)</f>
        <v>14</v>
      </c>
      <c r="N487" s="8">
        <f>COUNTIF($H$2:$H$1181, H487)</f>
        <v>121</v>
      </c>
    </row>
    <row r="488" spans="1:14">
      <c r="A488" s="29" t="s">
        <v>2293</v>
      </c>
      <c r="B488" s="30" t="s">
        <v>2294</v>
      </c>
      <c r="C488" s="30" t="s">
        <v>2295</v>
      </c>
      <c r="D488" s="31">
        <v>87.37</v>
      </c>
      <c r="E488" s="31">
        <v>273.04000000000002</v>
      </c>
      <c r="F488" s="30">
        <v>4</v>
      </c>
      <c r="G488" s="34">
        <f>E488/F488</f>
        <v>68.260000000000005</v>
      </c>
      <c r="H488" s="36" t="s">
        <v>1839</v>
      </c>
      <c r="I488" s="30" t="s">
        <v>2296</v>
      </c>
      <c r="J488" s="30" t="s">
        <v>2297</v>
      </c>
      <c r="K488" s="30" t="s">
        <v>2298</v>
      </c>
      <c r="L488" s="38" t="s">
        <v>22</v>
      </c>
      <c r="M488" s="8">
        <f>COUNTIF($B$1:$B$1191, B488)</f>
        <v>1</v>
      </c>
      <c r="N488" s="8">
        <f>COUNTIF($H$2:$H$1181, H488)</f>
        <v>121</v>
      </c>
    </row>
    <row r="489" spans="1:14">
      <c r="A489" s="32" t="s">
        <v>2299</v>
      </c>
      <c r="B489" s="26" t="s">
        <v>856</v>
      </c>
      <c r="C489" s="26" t="s">
        <v>857</v>
      </c>
      <c r="D489" s="33">
        <v>87.37</v>
      </c>
      <c r="E489" s="33">
        <v>87.37</v>
      </c>
      <c r="F489" s="26">
        <v>1</v>
      </c>
      <c r="G489" s="35">
        <f>E489/F489</f>
        <v>87.37</v>
      </c>
      <c r="H489" s="37" t="s">
        <v>1839</v>
      </c>
      <c r="I489" s="26" t="s">
        <v>2300</v>
      </c>
      <c r="J489" s="26" t="s">
        <v>2301</v>
      </c>
      <c r="K489" s="26" t="s">
        <v>2302</v>
      </c>
      <c r="L489" s="39" t="s">
        <v>22</v>
      </c>
      <c r="M489" s="8">
        <f>COUNTIF($B$1:$B$1191, B489)</f>
        <v>19</v>
      </c>
      <c r="N489" s="8">
        <f>COUNTIF($H$2:$H$1181, H489)</f>
        <v>121</v>
      </c>
    </row>
    <row r="490" spans="1:14">
      <c r="A490" s="29" t="s">
        <v>2303</v>
      </c>
      <c r="B490" s="30" t="s">
        <v>856</v>
      </c>
      <c r="C490" s="30" t="s">
        <v>857</v>
      </c>
      <c r="D490" s="31">
        <v>87.37</v>
      </c>
      <c r="E490" s="31">
        <v>87.37</v>
      </c>
      <c r="F490" s="30">
        <v>1</v>
      </c>
      <c r="G490" s="34">
        <f>E490/F490</f>
        <v>87.37</v>
      </c>
      <c r="H490" s="36" t="s">
        <v>1839</v>
      </c>
      <c r="I490" s="30" t="s">
        <v>2304</v>
      </c>
      <c r="J490" s="30" t="s">
        <v>2305</v>
      </c>
      <c r="K490" s="30" t="s">
        <v>2306</v>
      </c>
      <c r="L490" s="38" t="s">
        <v>22</v>
      </c>
      <c r="M490" s="8">
        <f>COUNTIF($B$1:$B$1191, B490)</f>
        <v>19</v>
      </c>
      <c r="N490" s="8">
        <f>COUNTIF($H$2:$H$1181, H490)</f>
        <v>121</v>
      </c>
    </row>
    <row r="491" spans="1:14">
      <c r="A491" s="32" t="s">
        <v>2307</v>
      </c>
      <c r="B491" s="26" t="s">
        <v>856</v>
      </c>
      <c r="C491" s="26" t="s">
        <v>857</v>
      </c>
      <c r="D491" s="33">
        <v>87.37</v>
      </c>
      <c r="E491" s="33">
        <v>87.37</v>
      </c>
      <c r="F491" s="26">
        <v>1</v>
      </c>
      <c r="G491" s="35">
        <f>E491/F491</f>
        <v>87.37</v>
      </c>
      <c r="H491" s="37" t="s">
        <v>1839</v>
      </c>
      <c r="I491" s="26" t="s">
        <v>2308</v>
      </c>
      <c r="J491" s="26" t="s">
        <v>2309</v>
      </c>
      <c r="K491" s="26" t="s">
        <v>2310</v>
      </c>
      <c r="L491" s="39" t="s">
        <v>22</v>
      </c>
      <c r="M491" s="8">
        <f>COUNTIF($B$1:$B$1191, B491)</f>
        <v>19</v>
      </c>
      <c r="N491" s="8">
        <f>COUNTIF($H$2:$H$1181, H491)</f>
        <v>121</v>
      </c>
    </row>
    <row r="492" spans="1:14">
      <c r="A492" s="29" t="s">
        <v>2311</v>
      </c>
      <c r="B492" s="30" t="s">
        <v>753</v>
      </c>
      <c r="C492" s="30" t="s">
        <v>754</v>
      </c>
      <c r="D492" s="31">
        <v>81.91</v>
      </c>
      <c r="E492" s="31">
        <v>81.91</v>
      </c>
      <c r="F492" s="30">
        <v>1</v>
      </c>
      <c r="G492" s="34">
        <f>E492/F492</f>
        <v>81.91</v>
      </c>
      <c r="H492" s="36" t="s">
        <v>1839</v>
      </c>
      <c r="I492" s="30" t="s">
        <v>2312</v>
      </c>
      <c r="J492" s="30" t="s">
        <v>2313</v>
      </c>
      <c r="K492" s="30" t="s">
        <v>2314</v>
      </c>
      <c r="L492" s="38" t="s">
        <v>22</v>
      </c>
      <c r="M492" s="8">
        <f>COUNTIF($B$1:$B$1191, B492)</f>
        <v>24</v>
      </c>
      <c r="N492" s="8">
        <f>COUNTIF($H$2:$H$1181, H492)</f>
        <v>121</v>
      </c>
    </row>
    <row r="493" spans="1:14">
      <c r="A493" s="32" t="s">
        <v>2315</v>
      </c>
      <c r="B493" s="26" t="s">
        <v>578</v>
      </c>
      <c r="C493" s="26" t="s">
        <v>579</v>
      </c>
      <c r="D493" s="33">
        <v>81.91</v>
      </c>
      <c r="E493" s="33">
        <v>81.91</v>
      </c>
      <c r="F493" s="26">
        <v>1</v>
      </c>
      <c r="G493" s="35">
        <f>E493/F493</f>
        <v>81.91</v>
      </c>
      <c r="H493" s="37" t="s">
        <v>1839</v>
      </c>
      <c r="I493" s="26" t="s">
        <v>2316</v>
      </c>
      <c r="J493" s="26" t="s">
        <v>2317</v>
      </c>
      <c r="K493" s="26" t="s">
        <v>2318</v>
      </c>
      <c r="L493" s="39" t="s">
        <v>22</v>
      </c>
      <c r="M493" s="8">
        <f>COUNTIF($B$1:$B$1191, B493)</f>
        <v>8</v>
      </c>
      <c r="N493" s="8">
        <f>COUNTIF($H$2:$H$1181, H493)</f>
        <v>121</v>
      </c>
    </row>
    <row r="494" spans="1:14">
      <c r="A494" s="29" t="s">
        <v>2319</v>
      </c>
      <c r="B494" s="30" t="s">
        <v>2320</v>
      </c>
      <c r="C494" s="30" t="s">
        <v>2320</v>
      </c>
      <c r="D494" s="31">
        <v>54.61</v>
      </c>
      <c r="E494" s="31">
        <v>54.61</v>
      </c>
      <c r="F494" s="30">
        <v>1</v>
      </c>
      <c r="G494" s="34">
        <f>E494/F494</f>
        <v>54.61</v>
      </c>
      <c r="H494" s="36" t="s">
        <v>1839</v>
      </c>
      <c r="I494" s="30" t="s">
        <v>2321</v>
      </c>
      <c r="J494" s="30" t="s">
        <v>2322</v>
      </c>
      <c r="K494" s="30" t="s">
        <v>2323</v>
      </c>
      <c r="L494" s="38" t="s">
        <v>22</v>
      </c>
      <c r="M494" s="8">
        <f>COUNTIF($B$1:$B$1191, B494)</f>
        <v>1</v>
      </c>
      <c r="N494" s="8">
        <f>COUNTIF($H$2:$H$1181, H494)</f>
        <v>121</v>
      </c>
    </row>
    <row r="495" spans="1:14">
      <c r="A495" s="32" t="s">
        <v>2324</v>
      </c>
      <c r="B495" s="26" t="s">
        <v>455</v>
      </c>
      <c r="C495" s="26" t="s">
        <v>456</v>
      </c>
      <c r="D495" s="33">
        <v>60.07</v>
      </c>
      <c r="E495" s="33">
        <v>81.91</v>
      </c>
      <c r="F495" s="26">
        <v>2</v>
      </c>
      <c r="G495" s="35">
        <f>E495/F495</f>
        <v>40.954999999999998</v>
      </c>
      <c r="H495" s="37" t="s">
        <v>1839</v>
      </c>
      <c r="I495" s="26" t="s">
        <v>2325</v>
      </c>
      <c r="J495" s="26" t="s">
        <v>2326</v>
      </c>
      <c r="K495" s="26" t="s">
        <v>2327</v>
      </c>
      <c r="L495" s="39" t="s">
        <v>22</v>
      </c>
      <c r="M495" s="8">
        <f>COUNTIF($B$1:$B$1191, B495)</f>
        <v>7</v>
      </c>
      <c r="N495" s="8">
        <f>COUNTIF($H$2:$H$1181, H495)</f>
        <v>121</v>
      </c>
    </row>
    <row r="496" spans="1:14">
      <c r="A496" s="29" t="s">
        <v>2328</v>
      </c>
      <c r="B496" s="30" t="s">
        <v>1053</v>
      </c>
      <c r="C496" s="30" t="s">
        <v>506</v>
      </c>
      <c r="D496" s="31">
        <v>136.52000000000001</v>
      </c>
      <c r="E496" s="31">
        <v>136.52000000000001</v>
      </c>
      <c r="F496" s="30">
        <v>1</v>
      </c>
      <c r="G496" s="34">
        <f>E496/F496</f>
        <v>136.52000000000001</v>
      </c>
      <c r="H496" s="36" t="s">
        <v>1839</v>
      </c>
      <c r="I496" s="30" t="s">
        <v>2329</v>
      </c>
      <c r="J496" s="30" t="s">
        <v>2330</v>
      </c>
      <c r="K496" s="30" t="s">
        <v>2331</v>
      </c>
      <c r="L496" s="38" t="s">
        <v>22</v>
      </c>
      <c r="M496" s="8">
        <f>COUNTIF($B$1:$B$1191, B496)</f>
        <v>20</v>
      </c>
      <c r="N496" s="8">
        <f>COUNTIF($H$2:$H$1181, H496)</f>
        <v>121</v>
      </c>
    </row>
    <row r="497" spans="1:14">
      <c r="A497" s="32" t="s">
        <v>2332</v>
      </c>
      <c r="B497" s="26" t="s">
        <v>578</v>
      </c>
      <c r="C497" s="26" t="s">
        <v>579</v>
      </c>
      <c r="D497" s="33">
        <v>76.45</v>
      </c>
      <c r="E497" s="33">
        <v>76.45</v>
      </c>
      <c r="F497" s="26">
        <v>1</v>
      </c>
      <c r="G497" s="35">
        <f>E497/F497</f>
        <v>76.45</v>
      </c>
      <c r="H497" s="37" t="s">
        <v>1839</v>
      </c>
      <c r="I497" s="26" t="s">
        <v>2333</v>
      </c>
      <c r="J497" s="26" t="s">
        <v>2334</v>
      </c>
      <c r="K497" s="26" t="s">
        <v>2335</v>
      </c>
      <c r="L497" s="39" t="s">
        <v>22</v>
      </c>
      <c r="M497" s="8">
        <f>COUNTIF($B$1:$B$1191, B497)</f>
        <v>8</v>
      </c>
      <c r="N497" s="8">
        <f>COUNTIF($H$2:$H$1181, H497)</f>
        <v>121</v>
      </c>
    </row>
    <row r="498" spans="1:14">
      <c r="A498" s="29" t="s">
        <v>2336</v>
      </c>
      <c r="B498" s="30" t="s">
        <v>2337</v>
      </c>
      <c r="C498" s="30" t="s">
        <v>2338</v>
      </c>
      <c r="D498" s="31">
        <v>376.74</v>
      </c>
      <c r="E498" s="31">
        <v>1528.95</v>
      </c>
      <c r="F498" s="30">
        <v>6</v>
      </c>
      <c r="G498" s="34">
        <f>E498/F498</f>
        <v>254.82500000000002</v>
      </c>
      <c r="H498" s="36" t="s">
        <v>1839</v>
      </c>
      <c r="I498" s="30" t="s">
        <v>2339</v>
      </c>
      <c r="J498" s="30" t="s">
        <v>2340</v>
      </c>
      <c r="K498" s="30" t="s">
        <v>2341</v>
      </c>
      <c r="L498" s="38" t="s">
        <v>22</v>
      </c>
      <c r="M498" s="8">
        <f>COUNTIF($B$1:$B$1191, B498)</f>
        <v>1</v>
      </c>
      <c r="N498" s="8">
        <f>COUNTIF($H$2:$H$1181, H498)</f>
        <v>121</v>
      </c>
    </row>
    <row r="499" spans="1:14">
      <c r="A499" s="32" t="s">
        <v>2342</v>
      </c>
      <c r="B499" s="26" t="s">
        <v>1655</v>
      </c>
      <c r="C499" s="26" t="s">
        <v>1656</v>
      </c>
      <c r="D499" s="33">
        <v>136.52000000000001</v>
      </c>
      <c r="E499" s="33">
        <v>136.52000000000001</v>
      </c>
      <c r="F499" s="26">
        <v>1</v>
      </c>
      <c r="G499" s="35">
        <f>E499/F499</f>
        <v>136.52000000000001</v>
      </c>
      <c r="H499" s="37" t="s">
        <v>1839</v>
      </c>
      <c r="I499" s="26" t="s">
        <v>2343</v>
      </c>
      <c r="J499" s="26" t="s">
        <v>2344</v>
      </c>
      <c r="K499" s="26" t="s">
        <v>2345</v>
      </c>
      <c r="L499" s="39" t="s">
        <v>22</v>
      </c>
      <c r="M499" s="8">
        <f>COUNTIF($B$1:$B$1191, B499)</f>
        <v>4</v>
      </c>
      <c r="N499" s="8">
        <f>COUNTIF($H$2:$H$1181, H499)</f>
        <v>121</v>
      </c>
    </row>
    <row r="500" spans="1:14">
      <c r="A500" s="29" t="s">
        <v>2346</v>
      </c>
      <c r="B500" s="30" t="s">
        <v>2347</v>
      </c>
      <c r="C500" s="30" t="s">
        <v>2347</v>
      </c>
      <c r="D500" s="31">
        <v>87.37</v>
      </c>
      <c r="E500" s="31">
        <v>125.6</v>
      </c>
      <c r="F500" s="30">
        <v>4</v>
      </c>
      <c r="G500" s="34">
        <f>E500/F500</f>
        <v>31.4</v>
      </c>
      <c r="H500" s="36" t="s">
        <v>1839</v>
      </c>
      <c r="I500" s="30" t="s">
        <v>2348</v>
      </c>
      <c r="J500" s="30" t="s">
        <v>2349</v>
      </c>
      <c r="K500" s="30" t="s">
        <v>2350</v>
      </c>
      <c r="L500" s="38" t="s">
        <v>22</v>
      </c>
      <c r="M500" s="8">
        <f>COUNTIF($B$1:$B$1191, B500)</f>
        <v>1</v>
      </c>
      <c r="N500" s="8">
        <f>COUNTIF($H$2:$H$1181, H500)</f>
        <v>121</v>
      </c>
    </row>
    <row r="501" spans="1:14">
      <c r="A501" s="32" t="s">
        <v>2351</v>
      </c>
      <c r="B501" s="26" t="s">
        <v>2352</v>
      </c>
      <c r="C501" s="26" t="s">
        <v>2353</v>
      </c>
      <c r="D501" s="33">
        <v>65.53</v>
      </c>
      <c r="E501" s="33">
        <v>65.53</v>
      </c>
      <c r="F501" s="26">
        <v>1</v>
      </c>
      <c r="G501" s="35">
        <f>E501/F501</f>
        <v>65.53</v>
      </c>
      <c r="H501" s="37" t="s">
        <v>1839</v>
      </c>
      <c r="I501" s="26" t="s">
        <v>2354</v>
      </c>
      <c r="J501" s="26" t="s">
        <v>2355</v>
      </c>
      <c r="K501" s="26" t="s">
        <v>2356</v>
      </c>
      <c r="L501" s="39" t="s">
        <v>22</v>
      </c>
      <c r="M501" s="8">
        <f>COUNTIF($B$1:$B$1191, B501)</f>
        <v>1</v>
      </c>
      <c r="N501" s="8">
        <f>COUNTIF($H$2:$H$1181, H501)</f>
        <v>121</v>
      </c>
    </row>
    <row r="502" spans="1:14">
      <c r="A502" s="29" t="s">
        <v>2357</v>
      </c>
      <c r="B502" s="30" t="s">
        <v>186</v>
      </c>
      <c r="C502" s="30" t="s">
        <v>187</v>
      </c>
      <c r="D502" s="31">
        <v>65.53</v>
      </c>
      <c r="E502" s="31">
        <v>109.21</v>
      </c>
      <c r="F502" s="30">
        <v>4</v>
      </c>
      <c r="G502" s="34">
        <f>E502/F502</f>
        <v>27.302499999999998</v>
      </c>
      <c r="H502" s="36" t="s">
        <v>1839</v>
      </c>
      <c r="I502" s="30" t="s">
        <v>2358</v>
      </c>
      <c r="J502" s="30" t="s">
        <v>2359</v>
      </c>
      <c r="K502" s="30" t="s">
        <v>2360</v>
      </c>
      <c r="L502" s="38" t="s">
        <v>22</v>
      </c>
      <c r="M502" s="8">
        <f>COUNTIF($B$1:$B$1191, B502)</f>
        <v>5</v>
      </c>
      <c r="N502" s="8">
        <f>COUNTIF($H$2:$H$1181, H502)</f>
        <v>121</v>
      </c>
    </row>
    <row r="503" spans="1:14">
      <c r="A503" s="32" t="s">
        <v>2361</v>
      </c>
      <c r="B503" s="26" t="s">
        <v>479</v>
      </c>
      <c r="C503" s="26" t="s">
        <v>480</v>
      </c>
      <c r="D503" s="33">
        <v>49.15</v>
      </c>
      <c r="E503" s="33">
        <v>81.91</v>
      </c>
      <c r="F503" s="26">
        <v>4</v>
      </c>
      <c r="G503" s="35">
        <f>E503/F503</f>
        <v>20.477499999999999</v>
      </c>
      <c r="H503" s="37" t="s">
        <v>1839</v>
      </c>
      <c r="I503" s="26" t="s">
        <v>2362</v>
      </c>
      <c r="J503" s="26" t="s">
        <v>2363</v>
      </c>
      <c r="K503" s="26" t="s">
        <v>2364</v>
      </c>
      <c r="L503" s="39" t="s">
        <v>22</v>
      </c>
      <c r="M503" s="8">
        <f>COUNTIF($B$1:$B$1191, B503)</f>
        <v>2</v>
      </c>
      <c r="N503" s="8">
        <f>COUNTIF($H$2:$H$1181, H503)</f>
        <v>121</v>
      </c>
    </row>
    <row r="504" spans="1:14">
      <c r="A504" s="29" t="s">
        <v>2365</v>
      </c>
      <c r="B504" s="30" t="s">
        <v>2366</v>
      </c>
      <c r="C504" s="30" t="s">
        <v>2367</v>
      </c>
      <c r="D504" s="31">
        <v>147.44</v>
      </c>
      <c r="E504" s="31">
        <v>147.44</v>
      </c>
      <c r="F504" s="30">
        <v>1</v>
      </c>
      <c r="G504" s="34">
        <f>E504/F504</f>
        <v>147.44</v>
      </c>
      <c r="H504" s="36" t="s">
        <v>1839</v>
      </c>
      <c r="I504" s="30" t="s">
        <v>2368</v>
      </c>
      <c r="J504" s="30" t="s">
        <v>2369</v>
      </c>
      <c r="K504" s="30" t="s">
        <v>2370</v>
      </c>
      <c r="L504" s="38" t="s">
        <v>22</v>
      </c>
      <c r="M504" s="8">
        <f>COUNTIF($B$1:$B$1191, B504)</f>
        <v>1</v>
      </c>
      <c r="N504" s="8">
        <f>COUNTIF($H$2:$H$1181, H504)</f>
        <v>121</v>
      </c>
    </row>
    <row r="505" spans="1:14">
      <c r="A505" s="32" t="s">
        <v>2371</v>
      </c>
      <c r="B505" s="26" t="s">
        <v>222</v>
      </c>
      <c r="C505" s="26" t="s">
        <v>223</v>
      </c>
      <c r="D505" s="33">
        <v>131.06</v>
      </c>
      <c r="E505" s="33">
        <v>131.06</v>
      </c>
      <c r="F505" s="26">
        <v>2</v>
      </c>
      <c r="G505" s="35">
        <f>E505/F505</f>
        <v>65.53</v>
      </c>
      <c r="H505" s="37" t="s">
        <v>1839</v>
      </c>
      <c r="I505" s="26" t="s">
        <v>2372</v>
      </c>
      <c r="J505" s="26" t="s">
        <v>2373</v>
      </c>
      <c r="K505" s="26" t="s">
        <v>2374</v>
      </c>
      <c r="L505" s="39" t="s">
        <v>22</v>
      </c>
      <c r="M505" s="8">
        <f>COUNTIF($B$1:$B$1191, B505)</f>
        <v>11</v>
      </c>
      <c r="N505" s="8">
        <f>COUNTIF($H$2:$H$1181, H505)</f>
        <v>121</v>
      </c>
    </row>
    <row r="506" spans="1:14">
      <c r="A506" s="29" t="s">
        <v>2375</v>
      </c>
      <c r="B506" s="30" t="s">
        <v>222</v>
      </c>
      <c r="C506" s="30" t="s">
        <v>223</v>
      </c>
      <c r="D506" s="31">
        <v>131.06</v>
      </c>
      <c r="E506" s="31">
        <v>131.06</v>
      </c>
      <c r="F506" s="30">
        <v>1</v>
      </c>
      <c r="G506" s="34">
        <f>E506/F506</f>
        <v>131.06</v>
      </c>
      <c r="H506" s="36" t="s">
        <v>1839</v>
      </c>
      <c r="I506" s="30" t="s">
        <v>2376</v>
      </c>
      <c r="J506" s="30" t="s">
        <v>2377</v>
      </c>
      <c r="K506" s="30" t="s">
        <v>2378</v>
      </c>
      <c r="L506" s="38" t="s">
        <v>22</v>
      </c>
      <c r="M506" s="8">
        <f>COUNTIF($B$1:$B$1191, B506)</f>
        <v>11</v>
      </c>
      <c r="N506" s="8">
        <f>COUNTIF($H$2:$H$1181, H506)</f>
        <v>121</v>
      </c>
    </row>
    <row r="507" spans="1:14">
      <c r="A507" s="32" t="s">
        <v>2379</v>
      </c>
      <c r="B507" s="26" t="s">
        <v>2380</v>
      </c>
      <c r="C507" s="26" t="s">
        <v>2381</v>
      </c>
      <c r="D507" s="33">
        <v>114.68</v>
      </c>
      <c r="E507" s="33">
        <v>267.58</v>
      </c>
      <c r="F507" s="26">
        <v>9</v>
      </c>
      <c r="G507" s="35">
        <f>E507/F507</f>
        <v>29.731111111111108</v>
      </c>
      <c r="H507" s="37" t="s">
        <v>1839</v>
      </c>
      <c r="I507" s="26" t="s">
        <v>2382</v>
      </c>
      <c r="J507" s="26" t="s">
        <v>2383</v>
      </c>
      <c r="K507" s="26" t="s">
        <v>2384</v>
      </c>
      <c r="L507" s="39" t="s">
        <v>153</v>
      </c>
      <c r="M507" s="8">
        <f>COUNTIF($B$1:$B$1191, B507)</f>
        <v>1</v>
      </c>
      <c r="N507" s="8">
        <f>COUNTIF($H$2:$H$1181, H507)</f>
        <v>121</v>
      </c>
    </row>
    <row r="508" spans="1:14">
      <c r="A508" s="29" t="s">
        <v>2385</v>
      </c>
      <c r="B508" s="30" t="s">
        <v>2386</v>
      </c>
      <c r="C508" s="30" t="s">
        <v>2387</v>
      </c>
      <c r="D508" s="31">
        <v>65.53</v>
      </c>
      <c r="E508" s="31">
        <v>218.37</v>
      </c>
      <c r="F508" s="30">
        <v>4</v>
      </c>
      <c r="G508" s="34">
        <f>E508/F508</f>
        <v>54.592500000000001</v>
      </c>
      <c r="H508" s="36" t="s">
        <v>1839</v>
      </c>
      <c r="I508" s="30" t="s">
        <v>2388</v>
      </c>
      <c r="J508" s="30" t="s">
        <v>2389</v>
      </c>
      <c r="K508" s="30" t="s">
        <v>2390</v>
      </c>
      <c r="L508" s="38" t="s">
        <v>22</v>
      </c>
      <c r="M508" s="8">
        <f>COUNTIF($B$1:$B$1191, B508)</f>
        <v>1</v>
      </c>
      <c r="N508" s="8">
        <f>COUNTIF($H$2:$H$1181, H508)</f>
        <v>121</v>
      </c>
    </row>
    <row r="509" spans="1:14">
      <c r="A509" s="32" t="s">
        <v>2391</v>
      </c>
      <c r="B509" s="26" t="s">
        <v>498</v>
      </c>
      <c r="C509" s="26" t="s">
        <v>499</v>
      </c>
      <c r="D509" s="33">
        <v>92.83</v>
      </c>
      <c r="E509" s="33">
        <v>92.83</v>
      </c>
      <c r="F509" s="26">
        <v>1</v>
      </c>
      <c r="G509" s="35">
        <f>E509/F509</f>
        <v>92.83</v>
      </c>
      <c r="H509" s="37" t="s">
        <v>2392</v>
      </c>
      <c r="I509" s="26" t="s">
        <v>2393</v>
      </c>
      <c r="J509" s="26" t="s">
        <v>2394</v>
      </c>
      <c r="K509" s="26" t="s">
        <v>2395</v>
      </c>
      <c r="L509" s="39" t="s">
        <v>22</v>
      </c>
      <c r="M509" s="8">
        <f>COUNTIF($B$1:$B$1191, B509)</f>
        <v>9</v>
      </c>
      <c r="N509" s="8">
        <f>COUNTIF($H$2:$H$1181, H509)</f>
        <v>85</v>
      </c>
    </row>
    <row r="510" spans="1:14">
      <c r="A510" s="29" t="s">
        <v>2396</v>
      </c>
      <c r="B510" s="30" t="s">
        <v>498</v>
      </c>
      <c r="C510" s="30" t="s">
        <v>499</v>
      </c>
      <c r="D510" s="31">
        <v>92.83</v>
      </c>
      <c r="E510" s="31">
        <v>92.83</v>
      </c>
      <c r="F510" s="30">
        <v>1</v>
      </c>
      <c r="G510" s="34">
        <f>E510/F510</f>
        <v>92.83</v>
      </c>
      <c r="H510" s="36" t="s">
        <v>2392</v>
      </c>
      <c r="I510" s="30" t="s">
        <v>2397</v>
      </c>
      <c r="J510" s="30" t="s">
        <v>2398</v>
      </c>
      <c r="K510" s="30" t="s">
        <v>2395</v>
      </c>
      <c r="L510" s="38" t="s">
        <v>22</v>
      </c>
      <c r="M510" s="8">
        <f>COUNTIF($B$1:$B$1191, B510)</f>
        <v>9</v>
      </c>
      <c r="N510" s="8">
        <f>COUNTIF($H$2:$H$1181, H510)</f>
        <v>85</v>
      </c>
    </row>
    <row r="511" spans="1:14">
      <c r="A511" s="32" t="s">
        <v>2399</v>
      </c>
      <c r="B511" s="26" t="s">
        <v>2400</v>
      </c>
      <c r="C511" s="26" t="s">
        <v>2295</v>
      </c>
      <c r="D511" s="33">
        <v>65.53</v>
      </c>
      <c r="E511" s="33">
        <v>65.53</v>
      </c>
      <c r="F511" s="26">
        <v>1</v>
      </c>
      <c r="G511" s="35">
        <f>E511/F511</f>
        <v>65.53</v>
      </c>
      <c r="H511" s="37" t="s">
        <v>2392</v>
      </c>
      <c r="I511" s="26" t="s">
        <v>2401</v>
      </c>
      <c r="J511" s="26" t="s">
        <v>2402</v>
      </c>
      <c r="K511" s="26" t="s">
        <v>2403</v>
      </c>
      <c r="L511" s="39" t="s">
        <v>22</v>
      </c>
      <c r="M511" s="8">
        <f>COUNTIF($B$1:$B$1191, B511)</f>
        <v>1</v>
      </c>
      <c r="N511" s="8">
        <f>COUNTIF($H$2:$H$1181, H511)</f>
        <v>85</v>
      </c>
    </row>
    <row r="512" spans="1:14">
      <c r="A512" s="29" t="s">
        <v>2404</v>
      </c>
      <c r="B512" s="30" t="s">
        <v>753</v>
      </c>
      <c r="C512" s="30" t="s">
        <v>754</v>
      </c>
      <c r="D512" s="31">
        <v>81.91</v>
      </c>
      <c r="E512" s="31">
        <v>81.91</v>
      </c>
      <c r="F512" s="30">
        <v>1</v>
      </c>
      <c r="G512" s="34">
        <f>E512/F512</f>
        <v>81.91</v>
      </c>
      <c r="H512" s="36" t="s">
        <v>2392</v>
      </c>
      <c r="I512" s="30" t="s">
        <v>2405</v>
      </c>
      <c r="J512" s="30" t="s">
        <v>2406</v>
      </c>
      <c r="K512" s="30" t="s">
        <v>2407</v>
      </c>
      <c r="L512" s="38" t="s">
        <v>22</v>
      </c>
      <c r="M512" s="8">
        <f>COUNTIF($B$1:$B$1191, B512)</f>
        <v>24</v>
      </c>
      <c r="N512" s="8">
        <f>COUNTIF($H$2:$H$1181, H512)</f>
        <v>85</v>
      </c>
    </row>
    <row r="513" spans="1:14">
      <c r="A513" s="32" t="s">
        <v>2408</v>
      </c>
      <c r="B513" s="26" t="s">
        <v>2409</v>
      </c>
      <c r="C513" s="26" t="s">
        <v>2410</v>
      </c>
      <c r="D513" s="33">
        <v>92.83</v>
      </c>
      <c r="E513" s="33">
        <v>92.83</v>
      </c>
      <c r="F513" s="26">
        <v>1</v>
      </c>
      <c r="G513" s="35">
        <f>E513/F513</f>
        <v>92.83</v>
      </c>
      <c r="H513" s="37" t="s">
        <v>2392</v>
      </c>
      <c r="I513" s="26" t="s">
        <v>2411</v>
      </c>
      <c r="J513" s="26" t="s">
        <v>2412</v>
      </c>
      <c r="K513" s="26" t="s">
        <v>2413</v>
      </c>
      <c r="L513" s="39" t="s">
        <v>22</v>
      </c>
      <c r="M513" s="8">
        <f>COUNTIF($B$1:$B$1191, B513)</f>
        <v>5</v>
      </c>
      <c r="N513" s="8">
        <f>COUNTIF($H$2:$H$1181, H513)</f>
        <v>85</v>
      </c>
    </row>
    <row r="514" spans="1:14">
      <c r="A514" s="29" t="s">
        <v>2414</v>
      </c>
      <c r="B514" s="30" t="s">
        <v>165</v>
      </c>
      <c r="C514" s="30" t="s">
        <v>165</v>
      </c>
      <c r="D514" s="31">
        <v>49.15</v>
      </c>
      <c r="E514" s="31">
        <v>49.15</v>
      </c>
      <c r="F514" s="30">
        <v>1</v>
      </c>
      <c r="G514" s="34">
        <f>E514/F514</f>
        <v>49.15</v>
      </c>
      <c r="H514" s="36" t="s">
        <v>2392</v>
      </c>
      <c r="I514" s="30" t="s">
        <v>2415</v>
      </c>
      <c r="J514" s="30" t="s">
        <v>2416</v>
      </c>
      <c r="K514" s="30" t="s">
        <v>2417</v>
      </c>
      <c r="L514" s="38" t="s">
        <v>22</v>
      </c>
      <c r="M514" s="8">
        <f>COUNTIF($B$1:$B$1191, B514)</f>
        <v>9</v>
      </c>
      <c r="N514" s="8">
        <f>COUNTIF($H$2:$H$1181, H514)</f>
        <v>85</v>
      </c>
    </row>
    <row r="515" spans="1:14">
      <c r="A515" s="32" t="s">
        <v>2418</v>
      </c>
      <c r="B515" s="26" t="s">
        <v>379</v>
      </c>
      <c r="C515" s="26" t="s">
        <v>379</v>
      </c>
      <c r="D515" s="33">
        <v>114.68</v>
      </c>
      <c r="E515" s="33">
        <v>114.68</v>
      </c>
      <c r="F515" s="26">
        <v>1</v>
      </c>
      <c r="G515" s="35">
        <f>E515/F515</f>
        <v>114.68</v>
      </c>
      <c r="H515" s="37" t="s">
        <v>2392</v>
      </c>
      <c r="I515" s="26" t="s">
        <v>2419</v>
      </c>
      <c r="J515" s="26" t="s">
        <v>2420</v>
      </c>
      <c r="K515" s="26" t="s">
        <v>2421</v>
      </c>
      <c r="L515" s="39" t="s">
        <v>22</v>
      </c>
      <c r="M515" s="8">
        <f>COUNTIF($B$1:$B$1191, B515)</f>
        <v>19</v>
      </c>
      <c r="N515" s="8">
        <f>COUNTIF($H$2:$H$1181, H515)</f>
        <v>85</v>
      </c>
    </row>
    <row r="516" spans="1:14">
      <c r="A516" s="29" t="s">
        <v>2422</v>
      </c>
      <c r="B516" s="30" t="s">
        <v>49</v>
      </c>
      <c r="C516" s="30" t="s">
        <v>50</v>
      </c>
      <c r="D516" s="31">
        <v>103.75</v>
      </c>
      <c r="E516" s="31">
        <v>103.75</v>
      </c>
      <c r="F516" s="30">
        <v>1</v>
      </c>
      <c r="G516" s="34">
        <f>E516/F516</f>
        <v>103.75</v>
      </c>
      <c r="H516" s="36" t="s">
        <v>2392</v>
      </c>
      <c r="I516" s="30" t="s">
        <v>2423</v>
      </c>
      <c r="J516" s="30" t="s">
        <v>2424</v>
      </c>
      <c r="K516" s="30" t="s">
        <v>2425</v>
      </c>
      <c r="L516" s="38" t="s">
        <v>22</v>
      </c>
      <c r="M516" s="8">
        <f>COUNTIF($B$1:$B$1191, B516)</f>
        <v>15</v>
      </c>
      <c r="N516" s="8">
        <f>COUNTIF($H$2:$H$1181, H516)</f>
        <v>85</v>
      </c>
    </row>
    <row r="517" spans="1:14">
      <c r="A517" s="32" t="s">
        <v>2426</v>
      </c>
      <c r="B517" s="26" t="s">
        <v>300</v>
      </c>
      <c r="C517" s="26" t="s">
        <v>301</v>
      </c>
      <c r="D517" s="33">
        <v>65.53</v>
      </c>
      <c r="E517" s="33">
        <v>65.53</v>
      </c>
      <c r="F517" s="26">
        <v>1</v>
      </c>
      <c r="G517" s="35">
        <f>E517/F517</f>
        <v>65.53</v>
      </c>
      <c r="H517" s="37" t="s">
        <v>2392</v>
      </c>
      <c r="I517" s="26" t="s">
        <v>2427</v>
      </c>
      <c r="J517" s="26" t="s">
        <v>2428</v>
      </c>
      <c r="K517" s="26" t="s">
        <v>2429</v>
      </c>
      <c r="L517" s="39" t="s">
        <v>22</v>
      </c>
      <c r="M517" s="8">
        <f>COUNTIF($B$1:$B$1191, B517)</f>
        <v>3</v>
      </c>
      <c r="N517" s="8">
        <f>COUNTIF($H$2:$H$1181, H517)</f>
        <v>85</v>
      </c>
    </row>
    <row r="518" spans="1:14">
      <c r="A518" s="29" t="s">
        <v>2430</v>
      </c>
      <c r="B518" s="30" t="s">
        <v>165</v>
      </c>
      <c r="C518" s="30" t="s">
        <v>165</v>
      </c>
      <c r="D518" s="31">
        <v>49.15</v>
      </c>
      <c r="E518" s="31">
        <v>49.15</v>
      </c>
      <c r="F518" s="30">
        <v>1</v>
      </c>
      <c r="G518" s="34">
        <f>E518/F518</f>
        <v>49.15</v>
      </c>
      <c r="H518" s="36" t="s">
        <v>2392</v>
      </c>
      <c r="I518" s="30" t="s">
        <v>2431</v>
      </c>
      <c r="J518" s="30" t="s">
        <v>2432</v>
      </c>
      <c r="K518" s="30" t="s">
        <v>2433</v>
      </c>
      <c r="L518" s="38" t="s">
        <v>22</v>
      </c>
      <c r="M518" s="8">
        <f>COUNTIF($B$1:$B$1191, B518)</f>
        <v>9</v>
      </c>
      <c r="N518" s="8">
        <f>COUNTIF($H$2:$H$1181, H518)</f>
        <v>85</v>
      </c>
    </row>
    <row r="519" spans="1:14">
      <c r="A519" s="32" t="s">
        <v>2434</v>
      </c>
      <c r="B519" s="26" t="s">
        <v>498</v>
      </c>
      <c r="C519" s="26" t="s">
        <v>499</v>
      </c>
      <c r="D519" s="33">
        <v>92.83</v>
      </c>
      <c r="E519" s="33">
        <v>92.83</v>
      </c>
      <c r="F519" s="26">
        <v>1</v>
      </c>
      <c r="G519" s="35">
        <f>E519/F519</f>
        <v>92.83</v>
      </c>
      <c r="H519" s="37" t="s">
        <v>2392</v>
      </c>
      <c r="I519" s="26" t="s">
        <v>2435</v>
      </c>
      <c r="J519" s="26" t="s">
        <v>2436</v>
      </c>
      <c r="K519" s="26" t="s">
        <v>2395</v>
      </c>
      <c r="L519" s="39" t="s">
        <v>22</v>
      </c>
      <c r="M519" s="8">
        <f>COUNTIF($B$1:$B$1191, B519)</f>
        <v>9</v>
      </c>
      <c r="N519" s="8">
        <f>COUNTIF($H$2:$H$1181, H519)</f>
        <v>85</v>
      </c>
    </row>
    <row r="520" spans="1:14">
      <c r="A520" s="29" t="s">
        <v>2437</v>
      </c>
      <c r="B520" s="30" t="s">
        <v>2438</v>
      </c>
      <c r="C520" s="30" t="s">
        <v>2439</v>
      </c>
      <c r="D520" s="31">
        <v>81.91</v>
      </c>
      <c r="E520" s="31">
        <v>81.91</v>
      </c>
      <c r="F520" s="30">
        <v>1</v>
      </c>
      <c r="G520" s="34">
        <f>E520/F520</f>
        <v>81.91</v>
      </c>
      <c r="H520" s="36" t="s">
        <v>2392</v>
      </c>
      <c r="I520" s="30" t="s">
        <v>2440</v>
      </c>
      <c r="J520" s="30" t="s">
        <v>2441</v>
      </c>
      <c r="K520" s="30" t="s">
        <v>2442</v>
      </c>
      <c r="L520" s="38" t="s">
        <v>22</v>
      </c>
      <c r="M520" s="8">
        <f>COUNTIF($B$1:$B$1191, B520)</f>
        <v>1</v>
      </c>
      <c r="N520" s="8">
        <f>COUNTIF($H$2:$H$1181, H520)</f>
        <v>85</v>
      </c>
    </row>
    <row r="521" spans="1:14">
      <c r="A521" s="32" t="s">
        <v>2443</v>
      </c>
      <c r="B521" s="26" t="s">
        <v>2444</v>
      </c>
      <c r="C521" s="26" t="s">
        <v>2445</v>
      </c>
      <c r="D521" s="33">
        <v>322.18</v>
      </c>
      <c r="E521" s="33">
        <v>322.18</v>
      </c>
      <c r="F521" s="26">
        <v>1</v>
      </c>
      <c r="G521" s="35">
        <f>E521/F521</f>
        <v>322.18</v>
      </c>
      <c r="H521" s="37" t="s">
        <v>2392</v>
      </c>
      <c r="I521" s="26" t="s">
        <v>2446</v>
      </c>
      <c r="J521" s="26" t="s">
        <v>2447</v>
      </c>
      <c r="K521" s="26" t="s">
        <v>2448</v>
      </c>
      <c r="L521" s="39" t="s">
        <v>22</v>
      </c>
      <c r="M521" s="8">
        <f>COUNTIF($B$1:$B$1191, B521)</f>
        <v>1</v>
      </c>
      <c r="N521" s="8">
        <f>COUNTIF($H$2:$H$1181, H521)</f>
        <v>85</v>
      </c>
    </row>
    <row r="522" spans="1:14">
      <c r="A522" s="29" t="s">
        <v>2449</v>
      </c>
      <c r="B522" s="30" t="s">
        <v>542</v>
      </c>
      <c r="C522" s="30" t="s">
        <v>543</v>
      </c>
      <c r="D522" s="31">
        <v>114.68</v>
      </c>
      <c r="E522" s="31">
        <v>114.68</v>
      </c>
      <c r="F522" s="30">
        <v>1</v>
      </c>
      <c r="G522" s="34">
        <f>E522/F522</f>
        <v>114.68</v>
      </c>
      <c r="H522" s="36" t="s">
        <v>2392</v>
      </c>
      <c r="I522" s="30" t="s">
        <v>2450</v>
      </c>
      <c r="J522" s="30" t="s">
        <v>2451</v>
      </c>
      <c r="K522" s="30" t="s">
        <v>2452</v>
      </c>
      <c r="L522" s="38" t="s">
        <v>153</v>
      </c>
      <c r="M522" s="8">
        <f>COUNTIF($B$1:$B$1191, B522)</f>
        <v>2</v>
      </c>
      <c r="N522" s="8">
        <f>COUNTIF($H$2:$H$1181, H522)</f>
        <v>85</v>
      </c>
    </row>
    <row r="523" spans="1:14">
      <c r="A523" s="32" t="s">
        <v>2453</v>
      </c>
      <c r="B523" s="26" t="s">
        <v>2454</v>
      </c>
      <c r="C523" s="26" t="s">
        <v>2455</v>
      </c>
      <c r="D523" s="33">
        <v>109.21</v>
      </c>
      <c r="E523" s="33">
        <v>109.21</v>
      </c>
      <c r="F523" s="26">
        <v>1</v>
      </c>
      <c r="G523" s="35">
        <f>E523/F523</f>
        <v>109.21</v>
      </c>
      <c r="H523" s="37" t="s">
        <v>2392</v>
      </c>
      <c r="I523" s="26" t="s">
        <v>2456</v>
      </c>
      <c r="J523" s="26" t="s">
        <v>2457</v>
      </c>
      <c r="K523" s="26" t="s">
        <v>2458</v>
      </c>
      <c r="L523" s="39" t="s">
        <v>22</v>
      </c>
      <c r="M523" s="8">
        <f>COUNTIF($B$1:$B$1191, B523)</f>
        <v>1</v>
      </c>
      <c r="N523" s="8">
        <f>COUNTIF($H$2:$H$1181, H523)</f>
        <v>85</v>
      </c>
    </row>
    <row r="524" spans="1:14">
      <c r="A524" s="29" t="s">
        <v>2459</v>
      </c>
      <c r="B524" s="30" t="s">
        <v>444</v>
      </c>
      <c r="C524" s="30" t="s">
        <v>444</v>
      </c>
      <c r="D524" s="31">
        <v>103.75</v>
      </c>
      <c r="E524" s="31">
        <v>103.75</v>
      </c>
      <c r="F524" s="30">
        <v>1</v>
      </c>
      <c r="G524" s="34">
        <f>E524/F524</f>
        <v>103.75</v>
      </c>
      <c r="H524" s="36" t="s">
        <v>2392</v>
      </c>
      <c r="I524" s="30" t="s">
        <v>2460</v>
      </c>
      <c r="J524" s="30" t="s">
        <v>2461</v>
      </c>
      <c r="K524" s="30" t="s">
        <v>2462</v>
      </c>
      <c r="L524" s="38" t="s">
        <v>22</v>
      </c>
      <c r="M524" s="8">
        <f>COUNTIF($B$1:$B$1191, B524)</f>
        <v>3</v>
      </c>
      <c r="N524" s="8">
        <f>COUNTIF($H$2:$H$1181, H524)</f>
        <v>85</v>
      </c>
    </row>
    <row r="525" spans="1:14">
      <c r="A525" s="32" t="s">
        <v>2463</v>
      </c>
      <c r="B525" s="26" t="s">
        <v>498</v>
      </c>
      <c r="C525" s="26" t="s">
        <v>499</v>
      </c>
      <c r="D525" s="33">
        <v>92.83</v>
      </c>
      <c r="E525" s="33">
        <v>92.83</v>
      </c>
      <c r="F525" s="26">
        <v>1</v>
      </c>
      <c r="G525" s="35">
        <f>E525/F525</f>
        <v>92.83</v>
      </c>
      <c r="H525" s="37" t="s">
        <v>2392</v>
      </c>
      <c r="I525" s="26" t="s">
        <v>2464</v>
      </c>
      <c r="J525" s="26" t="s">
        <v>2465</v>
      </c>
      <c r="K525" s="26" t="s">
        <v>2395</v>
      </c>
      <c r="L525" s="39" t="s">
        <v>22</v>
      </c>
      <c r="M525" s="8">
        <f>COUNTIF($B$1:$B$1191, B525)</f>
        <v>9</v>
      </c>
      <c r="N525" s="8">
        <f>COUNTIF($H$2:$H$1181, H525)</f>
        <v>85</v>
      </c>
    </row>
    <row r="526" spans="1:14">
      <c r="A526" s="29" t="s">
        <v>2466</v>
      </c>
      <c r="B526" s="30" t="s">
        <v>856</v>
      </c>
      <c r="C526" s="30" t="s">
        <v>857</v>
      </c>
      <c r="D526" s="31">
        <v>76.45</v>
      </c>
      <c r="E526" s="31">
        <v>76.45</v>
      </c>
      <c r="F526" s="30">
        <v>1</v>
      </c>
      <c r="G526" s="34">
        <f>E526/F526</f>
        <v>76.45</v>
      </c>
      <c r="H526" s="36" t="s">
        <v>2392</v>
      </c>
      <c r="I526" s="30" t="s">
        <v>2467</v>
      </c>
      <c r="J526" s="30" t="s">
        <v>2468</v>
      </c>
      <c r="K526" s="30" t="s">
        <v>2469</v>
      </c>
      <c r="L526" s="38" t="s">
        <v>22</v>
      </c>
      <c r="M526" s="8">
        <f>COUNTIF($B$1:$B$1191, B526)</f>
        <v>19</v>
      </c>
      <c r="N526" s="8">
        <f>COUNTIF($H$2:$H$1181, H526)</f>
        <v>85</v>
      </c>
    </row>
    <row r="527" spans="1:14">
      <c r="A527" s="32" t="s">
        <v>2470</v>
      </c>
      <c r="B527" s="26" t="s">
        <v>2471</v>
      </c>
      <c r="C527" s="26" t="s">
        <v>2472</v>
      </c>
      <c r="D527" s="33">
        <v>546.07000000000005</v>
      </c>
      <c r="E527" s="33">
        <v>546.07000000000005</v>
      </c>
      <c r="F527" s="26">
        <v>1</v>
      </c>
      <c r="G527" s="35">
        <f>E527/F527</f>
        <v>546.07000000000005</v>
      </c>
      <c r="H527" s="37" t="s">
        <v>2392</v>
      </c>
      <c r="I527" s="26" t="s">
        <v>2473</v>
      </c>
      <c r="J527" s="26" t="s">
        <v>2474</v>
      </c>
      <c r="K527" s="26" t="s">
        <v>2475</v>
      </c>
      <c r="L527" s="39" t="s">
        <v>22</v>
      </c>
      <c r="M527" s="8">
        <f>COUNTIF($B$1:$B$1191, B527)</f>
        <v>1</v>
      </c>
      <c r="N527" s="8">
        <f>COUNTIF($H$2:$H$1181, H527)</f>
        <v>85</v>
      </c>
    </row>
    <row r="528" spans="1:14">
      <c r="A528" s="29" t="s">
        <v>2476</v>
      </c>
      <c r="B528" s="30" t="s">
        <v>2477</v>
      </c>
      <c r="C528" s="30" t="s">
        <v>2478</v>
      </c>
      <c r="D528" s="31">
        <v>158.36000000000001</v>
      </c>
      <c r="E528" s="31">
        <v>158.36000000000001</v>
      </c>
      <c r="F528" s="30">
        <v>1</v>
      </c>
      <c r="G528" s="34">
        <f>E528/F528</f>
        <v>158.36000000000001</v>
      </c>
      <c r="H528" s="36" t="s">
        <v>2392</v>
      </c>
      <c r="I528" s="30" t="s">
        <v>2479</v>
      </c>
      <c r="J528" s="30" t="s">
        <v>2480</v>
      </c>
      <c r="K528" s="30" t="s">
        <v>2481</v>
      </c>
      <c r="L528" s="38" t="s">
        <v>22</v>
      </c>
      <c r="M528" s="8">
        <f>COUNTIF($B$1:$B$1191, B528)</f>
        <v>1</v>
      </c>
      <c r="N528" s="8">
        <f>COUNTIF($H$2:$H$1181, H528)</f>
        <v>85</v>
      </c>
    </row>
    <row r="529" spans="1:14">
      <c r="A529" s="32" t="s">
        <v>2482</v>
      </c>
      <c r="B529" s="26" t="s">
        <v>100</v>
      </c>
      <c r="C529" s="26" t="s">
        <v>101</v>
      </c>
      <c r="D529" s="33">
        <v>136.52000000000001</v>
      </c>
      <c r="E529" s="33">
        <v>136.52000000000001</v>
      </c>
      <c r="F529" s="26">
        <v>1</v>
      </c>
      <c r="G529" s="35">
        <f>E529/F529</f>
        <v>136.52000000000001</v>
      </c>
      <c r="H529" s="37" t="s">
        <v>2392</v>
      </c>
      <c r="I529" s="26" t="s">
        <v>2483</v>
      </c>
      <c r="J529" s="26" t="s">
        <v>2484</v>
      </c>
      <c r="K529" s="26" t="s">
        <v>2485</v>
      </c>
      <c r="L529" s="39" t="s">
        <v>22</v>
      </c>
      <c r="M529" s="8">
        <f>COUNTIF($B$1:$B$1191, B529)</f>
        <v>6</v>
      </c>
      <c r="N529" s="8">
        <f>COUNTIF($H$2:$H$1181, H529)</f>
        <v>85</v>
      </c>
    </row>
    <row r="530" spans="1:14">
      <c r="A530" s="29" t="s">
        <v>2486</v>
      </c>
      <c r="B530" s="30" t="s">
        <v>2487</v>
      </c>
      <c r="C530" s="30" t="s">
        <v>2488</v>
      </c>
      <c r="D530" s="31">
        <v>114.68</v>
      </c>
      <c r="E530" s="31">
        <v>114.68</v>
      </c>
      <c r="F530" s="30">
        <v>1</v>
      </c>
      <c r="G530" s="34">
        <f>E530/F530</f>
        <v>114.68</v>
      </c>
      <c r="H530" s="36" t="s">
        <v>2392</v>
      </c>
      <c r="I530" s="30" t="s">
        <v>2489</v>
      </c>
      <c r="J530" s="30" t="s">
        <v>2490</v>
      </c>
      <c r="K530" s="30" t="s">
        <v>2491</v>
      </c>
      <c r="L530" s="38" t="s">
        <v>22</v>
      </c>
      <c r="M530" s="8">
        <f>COUNTIF($B$1:$B$1191, B530)</f>
        <v>1</v>
      </c>
      <c r="N530" s="8">
        <f>COUNTIF($H$2:$H$1181, H530)</f>
        <v>85</v>
      </c>
    </row>
    <row r="531" spans="1:14">
      <c r="A531" s="32" t="s">
        <v>2492</v>
      </c>
      <c r="B531" s="26" t="s">
        <v>2493</v>
      </c>
      <c r="C531" s="26" t="s">
        <v>2494</v>
      </c>
      <c r="D531" s="33">
        <v>109.21</v>
      </c>
      <c r="E531" s="33">
        <v>109.21</v>
      </c>
      <c r="F531" s="26">
        <v>1</v>
      </c>
      <c r="G531" s="35">
        <f>E531/F531</f>
        <v>109.21</v>
      </c>
      <c r="H531" s="37" t="s">
        <v>2392</v>
      </c>
      <c r="I531" s="26" t="s">
        <v>2495</v>
      </c>
      <c r="J531" s="26" t="s">
        <v>2496</v>
      </c>
      <c r="K531" s="26" t="s">
        <v>2497</v>
      </c>
      <c r="L531" s="39" t="s">
        <v>22</v>
      </c>
      <c r="M531" s="8">
        <f>COUNTIF($B$1:$B$1191, B531)</f>
        <v>1</v>
      </c>
      <c r="N531" s="8">
        <f>COUNTIF($H$2:$H$1181, H531)</f>
        <v>85</v>
      </c>
    </row>
    <row r="532" spans="1:14">
      <c r="A532" s="29" t="s">
        <v>2498</v>
      </c>
      <c r="B532" s="30" t="s">
        <v>1762</v>
      </c>
      <c r="C532" s="30" t="s">
        <v>1763</v>
      </c>
      <c r="D532" s="31">
        <v>109.21</v>
      </c>
      <c r="E532" s="31">
        <v>109.21</v>
      </c>
      <c r="F532" s="30">
        <v>1</v>
      </c>
      <c r="G532" s="34">
        <f>E532/F532</f>
        <v>109.21</v>
      </c>
      <c r="H532" s="36" t="s">
        <v>2392</v>
      </c>
      <c r="I532" s="30" t="s">
        <v>2499</v>
      </c>
      <c r="J532" s="30" t="s">
        <v>2500</v>
      </c>
      <c r="K532" s="30" t="s">
        <v>2501</v>
      </c>
      <c r="L532" s="38" t="s">
        <v>153</v>
      </c>
      <c r="M532" s="8">
        <f>COUNTIF($B$1:$B$1191, B532)</f>
        <v>2</v>
      </c>
      <c r="N532" s="8">
        <f>COUNTIF($H$2:$H$1181, H532)</f>
        <v>85</v>
      </c>
    </row>
    <row r="533" spans="1:14">
      <c r="A533" s="32" t="s">
        <v>2502</v>
      </c>
      <c r="B533" s="26" t="s">
        <v>2503</v>
      </c>
      <c r="C533" s="26" t="s">
        <v>2504</v>
      </c>
      <c r="D533" s="33">
        <v>98.29</v>
      </c>
      <c r="E533" s="33">
        <v>98.29</v>
      </c>
      <c r="F533" s="26">
        <v>1</v>
      </c>
      <c r="G533" s="35">
        <f>E533/F533</f>
        <v>98.29</v>
      </c>
      <c r="H533" s="37" t="s">
        <v>2392</v>
      </c>
      <c r="I533" s="26" t="s">
        <v>2505</v>
      </c>
      <c r="J533" s="26" t="s">
        <v>2506</v>
      </c>
      <c r="K533" s="26" t="s">
        <v>2507</v>
      </c>
      <c r="L533" s="39" t="s">
        <v>22</v>
      </c>
      <c r="M533" s="8">
        <f>COUNTIF($B$1:$B$1191, B533)</f>
        <v>1</v>
      </c>
      <c r="N533" s="8">
        <f>COUNTIF($H$2:$H$1181, H533)</f>
        <v>85</v>
      </c>
    </row>
    <row r="534" spans="1:14">
      <c r="A534" s="29" t="s">
        <v>2508</v>
      </c>
      <c r="B534" s="30" t="s">
        <v>905</v>
      </c>
      <c r="C534" s="30" t="s">
        <v>906</v>
      </c>
      <c r="D534" s="31">
        <v>92.83</v>
      </c>
      <c r="E534" s="31">
        <v>92.83</v>
      </c>
      <c r="F534" s="30">
        <v>1</v>
      </c>
      <c r="G534" s="34">
        <f>E534/F534</f>
        <v>92.83</v>
      </c>
      <c r="H534" s="36" t="s">
        <v>2392</v>
      </c>
      <c r="I534" s="30" t="s">
        <v>2509</v>
      </c>
      <c r="J534" s="30" t="s">
        <v>2510</v>
      </c>
      <c r="K534" s="30" t="s">
        <v>2511</v>
      </c>
      <c r="L534" s="38" t="s">
        <v>22</v>
      </c>
      <c r="M534" s="8">
        <f>COUNTIF($B$1:$B$1191, B534)</f>
        <v>4</v>
      </c>
      <c r="N534" s="8">
        <f>COUNTIF($H$2:$H$1181, H534)</f>
        <v>85</v>
      </c>
    </row>
    <row r="535" spans="1:14">
      <c r="A535" s="32" t="s">
        <v>2512</v>
      </c>
      <c r="B535" s="26" t="s">
        <v>498</v>
      </c>
      <c r="C535" s="26" t="s">
        <v>499</v>
      </c>
      <c r="D535" s="33">
        <v>92.83</v>
      </c>
      <c r="E535" s="33">
        <v>92.83</v>
      </c>
      <c r="F535" s="26">
        <v>1</v>
      </c>
      <c r="G535" s="35">
        <f>E535/F535</f>
        <v>92.83</v>
      </c>
      <c r="H535" s="37" t="s">
        <v>2392</v>
      </c>
      <c r="I535" s="26" t="s">
        <v>2513</v>
      </c>
      <c r="J535" s="26" t="s">
        <v>2514</v>
      </c>
      <c r="K535" s="26" t="s">
        <v>2395</v>
      </c>
      <c r="L535" s="39" t="s">
        <v>22</v>
      </c>
      <c r="M535" s="8">
        <f>COUNTIF($B$1:$B$1191, B535)</f>
        <v>9</v>
      </c>
      <c r="N535" s="8">
        <f>COUNTIF($H$2:$H$1181, H535)</f>
        <v>85</v>
      </c>
    </row>
    <row r="536" spans="1:14">
      <c r="A536" s="29" t="s">
        <v>2515</v>
      </c>
      <c r="B536" s="30" t="s">
        <v>2516</v>
      </c>
      <c r="C536" s="30" t="s">
        <v>2517</v>
      </c>
      <c r="D536" s="31">
        <v>70.989999999999995</v>
      </c>
      <c r="E536" s="31">
        <v>70.989999999999995</v>
      </c>
      <c r="F536" s="30">
        <v>1</v>
      </c>
      <c r="G536" s="34">
        <f>E536/F536</f>
        <v>70.989999999999995</v>
      </c>
      <c r="H536" s="36" t="s">
        <v>2392</v>
      </c>
      <c r="I536" s="30" t="s">
        <v>2518</v>
      </c>
      <c r="J536" s="30" t="s">
        <v>2519</v>
      </c>
      <c r="K536" s="30" t="s">
        <v>2520</v>
      </c>
      <c r="L536" s="38" t="s">
        <v>22</v>
      </c>
      <c r="M536" s="8">
        <f>COUNTIF($B$1:$B$1191, B536)</f>
        <v>2</v>
      </c>
      <c r="N536" s="8">
        <f>COUNTIF($H$2:$H$1181, H536)</f>
        <v>85</v>
      </c>
    </row>
    <row r="537" spans="1:14">
      <c r="A537" s="32" t="s">
        <v>2521</v>
      </c>
      <c r="B537" s="26" t="s">
        <v>334</v>
      </c>
      <c r="C537" s="26" t="s">
        <v>335</v>
      </c>
      <c r="D537" s="33">
        <v>65.53</v>
      </c>
      <c r="E537" s="33">
        <v>65.53</v>
      </c>
      <c r="F537" s="26">
        <v>1</v>
      </c>
      <c r="G537" s="35">
        <f>E537/F537</f>
        <v>65.53</v>
      </c>
      <c r="H537" s="37" t="s">
        <v>2392</v>
      </c>
      <c r="I537" s="26" t="s">
        <v>2522</v>
      </c>
      <c r="J537" s="26" t="s">
        <v>2523</v>
      </c>
      <c r="K537" s="26" t="s">
        <v>2524</v>
      </c>
      <c r="L537" s="39" t="s">
        <v>22</v>
      </c>
      <c r="M537" s="8">
        <f>COUNTIF($B$1:$B$1191, B537)</f>
        <v>3</v>
      </c>
      <c r="N537" s="8">
        <f>COUNTIF($H$2:$H$1181, H537)</f>
        <v>85</v>
      </c>
    </row>
    <row r="538" spans="1:14">
      <c r="A538" s="29" t="s">
        <v>2525</v>
      </c>
      <c r="B538" s="30" t="s">
        <v>2526</v>
      </c>
      <c r="C538" s="30" t="s">
        <v>2527</v>
      </c>
      <c r="D538" s="31">
        <v>65.53</v>
      </c>
      <c r="E538" s="31">
        <v>65.53</v>
      </c>
      <c r="F538" s="30">
        <v>1</v>
      </c>
      <c r="G538" s="34">
        <f>E538/F538</f>
        <v>65.53</v>
      </c>
      <c r="H538" s="36" t="s">
        <v>2392</v>
      </c>
      <c r="I538" s="30" t="s">
        <v>2528</v>
      </c>
      <c r="J538" s="30" t="s">
        <v>2529</v>
      </c>
      <c r="K538" s="30" t="s">
        <v>2530</v>
      </c>
      <c r="L538" s="38" t="s">
        <v>22</v>
      </c>
      <c r="M538" s="8">
        <f>COUNTIF($B$1:$B$1191, B538)</f>
        <v>2</v>
      </c>
      <c r="N538" s="8">
        <f>COUNTIF($H$2:$H$1181, H538)</f>
        <v>85</v>
      </c>
    </row>
    <row r="539" spans="1:14">
      <c r="A539" s="32" t="s">
        <v>2531</v>
      </c>
      <c r="B539" s="26" t="s">
        <v>379</v>
      </c>
      <c r="C539" s="26" t="s">
        <v>379</v>
      </c>
      <c r="D539" s="33">
        <v>114.68</v>
      </c>
      <c r="E539" s="33">
        <v>114.68</v>
      </c>
      <c r="F539" s="26">
        <v>1</v>
      </c>
      <c r="G539" s="35">
        <f>E539/F539</f>
        <v>114.68</v>
      </c>
      <c r="H539" s="37" t="s">
        <v>2392</v>
      </c>
      <c r="I539" s="26" t="s">
        <v>2532</v>
      </c>
      <c r="J539" s="26" t="s">
        <v>2533</v>
      </c>
      <c r="K539" s="26" t="s">
        <v>2534</v>
      </c>
      <c r="L539" s="39" t="s">
        <v>22</v>
      </c>
      <c r="M539" s="8">
        <f>COUNTIF($B$1:$B$1191, B539)</f>
        <v>19</v>
      </c>
      <c r="N539" s="8">
        <f>COUNTIF($H$2:$H$1181, H539)</f>
        <v>85</v>
      </c>
    </row>
    <row r="540" spans="1:14">
      <c r="A540" s="29" t="s">
        <v>2535</v>
      </c>
      <c r="B540" s="30" t="s">
        <v>2536</v>
      </c>
      <c r="C540" s="30" t="s">
        <v>2537</v>
      </c>
      <c r="D540" s="31">
        <v>103.75</v>
      </c>
      <c r="E540" s="31">
        <v>103.75</v>
      </c>
      <c r="F540" s="30">
        <v>1</v>
      </c>
      <c r="G540" s="34">
        <f>E540/F540</f>
        <v>103.75</v>
      </c>
      <c r="H540" s="36" t="s">
        <v>2392</v>
      </c>
      <c r="I540" s="30" t="s">
        <v>2538</v>
      </c>
      <c r="J540" s="30" t="s">
        <v>2539</v>
      </c>
      <c r="K540" s="30" t="s">
        <v>2540</v>
      </c>
      <c r="L540" s="38" t="s">
        <v>22</v>
      </c>
      <c r="M540" s="8">
        <f>COUNTIF($B$1:$B$1191, B540)</f>
        <v>1</v>
      </c>
      <c r="N540" s="8">
        <f>COUNTIF($H$2:$H$1181, H540)</f>
        <v>85</v>
      </c>
    </row>
    <row r="541" spans="1:14">
      <c r="A541" s="32" t="s">
        <v>2541</v>
      </c>
      <c r="B541" s="26" t="s">
        <v>753</v>
      </c>
      <c r="C541" s="26" t="s">
        <v>754</v>
      </c>
      <c r="D541" s="33">
        <v>81.91</v>
      </c>
      <c r="E541" s="33">
        <v>81.91</v>
      </c>
      <c r="F541" s="26">
        <v>1</v>
      </c>
      <c r="G541" s="35">
        <f>E541/F541</f>
        <v>81.91</v>
      </c>
      <c r="H541" s="37" t="s">
        <v>2392</v>
      </c>
      <c r="I541" s="26" t="s">
        <v>2542</v>
      </c>
      <c r="J541" s="26" t="s">
        <v>2543</v>
      </c>
      <c r="K541" s="26" t="s">
        <v>2544</v>
      </c>
      <c r="L541" s="39" t="s">
        <v>22</v>
      </c>
      <c r="M541" s="8">
        <f>COUNTIF($B$1:$B$1191, B541)</f>
        <v>24</v>
      </c>
      <c r="N541" s="8">
        <f>COUNTIF($H$2:$H$1181, H541)</f>
        <v>85</v>
      </c>
    </row>
    <row r="542" spans="1:14">
      <c r="A542" s="29" t="s">
        <v>2545</v>
      </c>
      <c r="B542" s="30" t="s">
        <v>2546</v>
      </c>
      <c r="C542" s="30" t="s">
        <v>2547</v>
      </c>
      <c r="D542" s="31">
        <v>155</v>
      </c>
      <c r="E542" s="31">
        <v>155</v>
      </c>
      <c r="F542" s="30">
        <v>1</v>
      </c>
      <c r="G542" s="34">
        <f>E542/F542</f>
        <v>155</v>
      </c>
      <c r="H542" s="36" t="s">
        <v>2392</v>
      </c>
      <c r="I542" s="30" t="s">
        <v>2548</v>
      </c>
      <c r="J542" s="30" t="s">
        <v>2549</v>
      </c>
      <c r="K542" s="30" t="s">
        <v>2550</v>
      </c>
      <c r="L542" s="38" t="s">
        <v>22</v>
      </c>
      <c r="M542" s="8">
        <f>COUNTIF($B$1:$B$1191, B542)</f>
        <v>2</v>
      </c>
      <c r="N542" s="8">
        <f>COUNTIF($H$2:$H$1181, H542)</f>
        <v>85</v>
      </c>
    </row>
    <row r="543" spans="1:14">
      <c r="A543" s="32" t="s">
        <v>2551</v>
      </c>
      <c r="B543" s="26" t="s">
        <v>2552</v>
      </c>
      <c r="C543" s="26" t="s">
        <v>2553</v>
      </c>
      <c r="D543" s="33">
        <v>98.29</v>
      </c>
      <c r="E543" s="33">
        <v>98.29</v>
      </c>
      <c r="F543" s="26">
        <v>1</v>
      </c>
      <c r="G543" s="35">
        <f>E543/F543</f>
        <v>98.29</v>
      </c>
      <c r="H543" s="37" t="s">
        <v>2392</v>
      </c>
      <c r="I543" s="26" t="s">
        <v>2554</v>
      </c>
      <c r="J543" s="26" t="s">
        <v>2555</v>
      </c>
      <c r="K543" s="26" t="s">
        <v>2556</v>
      </c>
      <c r="L543" s="39" t="s">
        <v>22</v>
      </c>
      <c r="M543" s="8">
        <f>COUNTIF($B$1:$B$1191, B543)</f>
        <v>2</v>
      </c>
      <c r="N543" s="8">
        <f>COUNTIF($H$2:$H$1181, H543)</f>
        <v>85</v>
      </c>
    </row>
    <row r="544" spans="1:14">
      <c r="A544" s="29" t="s">
        <v>2557</v>
      </c>
      <c r="B544" s="30" t="s">
        <v>127</v>
      </c>
      <c r="C544" s="30" t="s">
        <v>128</v>
      </c>
      <c r="D544" s="31">
        <v>103.75</v>
      </c>
      <c r="E544" s="31">
        <v>103.75</v>
      </c>
      <c r="F544" s="30">
        <v>1</v>
      </c>
      <c r="G544" s="34">
        <f>E544/F544</f>
        <v>103.75</v>
      </c>
      <c r="H544" s="36" t="s">
        <v>2392</v>
      </c>
      <c r="I544" s="30" t="s">
        <v>2558</v>
      </c>
      <c r="J544" s="30" t="s">
        <v>2559</v>
      </c>
      <c r="K544" s="30" t="s">
        <v>2560</v>
      </c>
      <c r="L544" s="38" t="s">
        <v>22</v>
      </c>
      <c r="M544" s="8">
        <f>COUNTIF($B$1:$B$1191, B544)</f>
        <v>3</v>
      </c>
      <c r="N544" s="8">
        <f>COUNTIF($H$2:$H$1181, H544)</f>
        <v>85</v>
      </c>
    </row>
    <row r="545" spans="1:14">
      <c r="A545" s="32" t="s">
        <v>2561</v>
      </c>
      <c r="B545" s="26" t="s">
        <v>2562</v>
      </c>
      <c r="C545" s="26" t="s">
        <v>2563</v>
      </c>
      <c r="D545" s="33">
        <v>152.9</v>
      </c>
      <c r="E545" s="33">
        <v>152.9</v>
      </c>
      <c r="F545" s="26">
        <v>1</v>
      </c>
      <c r="G545" s="35">
        <f>E545/F545</f>
        <v>152.9</v>
      </c>
      <c r="H545" s="37" t="s">
        <v>2392</v>
      </c>
      <c r="I545" s="26" t="s">
        <v>2564</v>
      </c>
      <c r="J545" s="26" t="s">
        <v>2565</v>
      </c>
      <c r="K545" s="26" t="s">
        <v>2566</v>
      </c>
      <c r="L545" s="39" t="s">
        <v>22</v>
      </c>
      <c r="M545" s="8">
        <f>COUNTIF($B$1:$B$1191, B545)</f>
        <v>1</v>
      </c>
      <c r="N545" s="8">
        <f>COUNTIF($H$2:$H$1181, H545)</f>
        <v>85</v>
      </c>
    </row>
    <row r="546" spans="1:14">
      <c r="A546" s="29" t="s">
        <v>2567</v>
      </c>
      <c r="B546" s="30" t="s">
        <v>94</v>
      </c>
      <c r="C546" s="30" t="s">
        <v>95</v>
      </c>
      <c r="D546" s="31">
        <v>114.68</v>
      </c>
      <c r="E546" s="31">
        <v>114.68</v>
      </c>
      <c r="F546" s="30">
        <v>1</v>
      </c>
      <c r="G546" s="34">
        <f>E546/F546</f>
        <v>114.68</v>
      </c>
      <c r="H546" s="36" t="s">
        <v>2392</v>
      </c>
      <c r="I546" s="30" t="s">
        <v>2568</v>
      </c>
      <c r="J546" s="30" t="s">
        <v>2569</v>
      </c>
      <c r="K546" s="30" t="s">
        <v>2570</v>
      </c>
      <c r="L546" s="38" t="s">
        <v>22</v>
      </c>
      <c r="M546" s="8">
        <f>COUNTIF($B$1:$B$1191, B546)</f>
        <v>4</v>
      </c>
      <c r="N546" s="8">
        <f>COUNTIF($H$2:$H$1181, H546)</f>
        <v>85</v>
      </c>
    </row>
    <row r="547" spans="1:14">
      <c r="A547" s="32" t="s">
        <v>2571</v>
      </c>
      <c r="B547" s="26" t="s">
        <v>16</v>
      </c>
      <c r="C547" s="26" t="s">
        <v>17</v>
      </c>
      <c r="D547" s="33">
        <v>109.21</v>
      </c>
      <c r="E547" s="33">
        <v>109.21</v>
      </c>
      <c r="F547" s="26">
        <v>1</v>
      </c>
      <c r="G547" s="35">
        <f>E547/F547</f>
        <v>109.21</v>
      </c>
      <c r="H547" s="37" t="s">
        <v>2392</v>
      </c>
      <c r="I547" s="26" t="s">
        <v>2572</v>
      </c>
      <c r="J547" s="26" t="s">
        <v>2573</v>
      </c>
      <c r="K547" s="26" t="s">
        <v>2574</v>
      </c>
      <c r="L547" s="39" t="s">
        <v>22</v>
      </c>
      <c r="M547" s="8">
        <f>COUNTIF($B$1:$B$1191, B547)</f>
        <v>6</v>
      </c>
      <c r="N547" s="8">
        <f>COUNTIF($H$2:$H$1181, H547)</f>
        <v>85</v>
      </c>
    </row>
    <row r="548" spans="1:14">
      <c r="A548" s="29" t="s">
        <v>2575</v>
      </c>
      <c r="B548" s="30" t="s">
        <v>180</v>
      </c>
      <c r="C548" s="30" t="s">
        <v>181</v>
      </c>
      <c r="D548" s="31">
        <v>109.21</v>
      </c>
      <c r="E548" s="31">
        <v>109.21</v>
      </c>
      <c r="F548" s="30">
        <v>1</v>
      </c>
      <c r="G548" s="34">
        <f>E548/F548</f>
        <v>109.21</v>
      </c>
      <c r="H548" s="36" t="s">
        <v>2392</v>
      </c>
      <c r="I548" s="30" t="s">
        <v>2576</v>
      </c>
      <c r="J548" s="30" t="s">
        <v>2577</v>
      </c>
      <c r="K548" s="30" t="s">
        <v>2578</v>
      </c>
      <c r="L548" s="38" t="s">
        <v>22</v>
      </c>
      <c r="M548" s="8">
        <f>COUNTIF($B$1:$B$1191, B548)</f>
        <v>2</v>
      </c>
      <c r="N548" s="8">
        <f>COUNTIF($H$2:$H$1181, H548)</f>
        <v>85</v>
      </c>
    </row>
    <row r="549" spans="1:14">
      <c r="A549" s="32" t="s">
        <v>2579</v>
      </c>
      <c r="B549" s="26" t="s">
        <v>352</v>
      </c>
      <c r="C549" s="26" t="s">
        <v>353</v>
      </c>
      <c r="D549" s="33">
        <v>98.29</v>
      </c>
      <c r="E549" s="33">
        <v>98.29</v>
      </c>
      <c r="F549" s="26">
        <v>1</v>
      </c>
      <c r="G549" s="35">
        <f>E549/F549</f>
        <v>98.29</v>
      </c>
      <c r="H549" s="37" t="s">
        <v>2392</v>
      </c>
      <c r="I549" s="26" t="s">
        <v>2580</v>
      </c>
      <c r="J549" s="26" t="s">
        <v>2581</v>
      </c>
      <c r="K549" s="26" t="s">
        <v>2582</v>
      </c>
      <c r="L549" s="39" t="s">
        <v>22</v>
      </c>
      <c r="M549" s="8">
        <f>COUNTIF($B$1:$B$1191, B549)</f>
        <v>3</v>
      </c>
      <c r="N549" s="8">
        <f>COUNTIF($H$2:$H$1181, H549)</f>
        <v>85</v>
      </c>
    </row>
    <row r="550" spans="1:14">
      <c r="A550" s="29" t="s">
        <v>2583</v>
      </c>
      <c r="B550" s="30" t="s">
        <v>65</v>
      </c>
      <c r="C550" s="30" t="s">
        <v>66</v>
      </c>
      <c r="D550" s="31">
        <v>92.83</v>
      </c>
      <c r="E550" s="31">
        <v>92.83</v>
      </c>
      <c r="F550" s="30">
        <v>1</v>
      </c>
      <c r="G550" s="34">
        <f>E550/F550</f>
        <v>92.83</v>
      </c>
      <c r="H550" s="36" t="s">
        <v>2392</v>
      </c>
      <c r="I550" s="30" t="s">
        <v>2584</v>
      </c>
      <c r="J550" s="30" t="s">
        <v>2585</v>
      </c>
      <c r="K550" s="30" t="s">
        <v>2586</v>
      </c>
      <c r="L550" s="38" t="s">
        <v>22</v>
      </c>
      <c r="M550" s="8">
        <f>COUNTIF($B$1:$B$1191, B550)</f>
        <v>9</v>
      </c>
      <c r="N550" s="8">
        <f>COUNTIF($H$2:$H$1181, H550)</f>
        <v>85</v>
      </c>
    </row>
    <row r="551" spans="1:14">
      <c r="A551" s="32" t="s">
        <v>2587</v>
      </c>
      <c r="B551" s="26" t="s">
        <v>438</v>
      </c>
      <c r="C551" s="26" t="s">
        <v>439</v>
      </c>
      <c r="D551" s="33">
        <v>87.37</v>
      </c>
      <c r="E551" s="33">
        <v>87.37</v>
      </c>
      <c r="F551" s="26">
        <v>1</v>
      </c>
      <c r="G551" s="35">
        <f>E551/F551</f>
        <v>87.37</v>
      </c>
      <c r="H551" s="37" t="s">
        <v>2392</v>
      </c>
      <c r="I551" s="26" t="s">
        <v>2588</v>
      </c>
      <c r="J551" s="26" t="s">
        <v>2589</v>
      </c>
      <c r="K551" s="26" t="s">
        <v>2590</v>
      </c>
      <c r="L551" s="39" t="s">
        <v>22</v>
      </c>
      <c r="M551" s="8">
        <f>COUNTIF($B$1:$B$1191, B551)</f>
        <v>14</v>
      </c>
      <c r="N551" s="8">
        <f>COUNTIF($H$2:$H$1181, H551)</f>
        <v>85</v>
      </c>
    </row>
    <row r="552" spans="1:14">
      <c r="A552" s="29" t="s">
        <v>2591</v>
      </c>
      <c r="B552" s="30" t="s">
        <v>753</v>
      </c>
      <c r="C552" s="30" t="s">
        <v>754</v>
      </c>
      <c r="D552" s="31">
        <v>81.91</v>
      </c>
      <c r="E552" s="31">
        <v>81.91</v>
      </c>
      <c r="F552" s="30">
        <v>1</v>
      </c>
      <c r="G552" s="34">
        <f>E552/F552</f>
        <v>81.91</v>
      </c>
      <c r="H552" s="36" t="s">
        <v>2392</v>
      </c>
      <c r="I552" s="30" t="s">
        <v>2592</v>
      </c>
      <c r="J552" s="30" t="s">
        <v>2593</v>
      </c>
      <c r="K552" s="30" t="s">
        <v>2594</v>
      </c>
      <c r="L552" s="38" t="s">
        <v>22</v>
      </c>
      <c r="M552" s="8">
        <f>COUNTIF($B$1:$B$1191, B552)</f>
        <v>24</v>
      </c>
      <c r="N552" s="8">
        <f>COUNTIF($H$2:$H$1181, H552)</f>
        <v>85</v>
      </c>
    </row>
    <row r="553" spans="1:14">
      <c r="A553" s="32" t="s">
        <v>2595</v>
      </c>
      <c r="B553" s="26" t="s">
        <v>2596</v>
      </c>
      <c r="C553" s="26" t="s">
        <v>2597</v>
      </c>
      <c r="D553" s="33">
        <v>65.53</v>
      </c>
      <c r="E553" s="33">
        <v>65.53</v>
      </c>
      <c r="F553" s="26">
        <v>1</v>
      </c>
      <c r="G553" s="35">
        <f>E553/F553</f>
        <v>65.53</v>
      </c>
      <c r="H553" s="37" t="s">
        <v>2392</v>
      </c>
      <c r="I553" s="26" t="s">
        <v>2598</v>
      </c>
      <c r="J553" s="26" t="s">
        <v>2599</v>
      </c>
      <c r="K553" s="26" t="s">
        <v>2600</v>
      </c>
      <c r="L553" s="39" t="s">
        <v>22</v>
      </c>
      <c r="M553" s="8">
        <f>COUNTIF($B$1:$B$1191, B553)</f>
        <v>1</v>
      </c>
      <c r="N553" s="8">
        <f>COUNTIF($H$2:$H$1181, H553)</f>
        <v>85</v>
      </c>
    </row>
    <row r="554" spans="1:14">
      <c r="A554" s="29" t="s">
        <v>2601</v>
      </c>
      <c r="B554" s="30" t="s">
        <v>2602</v>
      </c>
      <c r="C554" s="30" t="s">
        <v>2603</v>
      </c>
      <c r="D554" s="31">
        <v>65.53</v>
      </c>
      <c r="E554" s="31">
        <v>65.53</v>
      </c>
      <c r="F554" s="30">
        <v>1</v>
      </c>
      <c r="G554" s="34">
        <f>E554/F554</f>
        <v>65.53</v>
      </c>
      <c r="H554" s="36" t="s">
        <v>2392</v>
      </c>
      <c r="I554" s="30" t="s">
        <v>2604</v>
      </c>
      <c r="J554" s="30" t="s">
        <v>2605</v>
      </c>
      <c r="K554" s="30" t="s">
        <v>2606</v>
      </c>
      <c r="L554" s="38" t="s">
        <v>22</v>
      </c>
      <c r="M554" s="8">
        <f>COUNTIF($B$1:$B$1191, B554)</f>
        <v>2</v>
      </c>
      <c r="N554" s="8">
        <f>COUNTIF($H$2:$H$1181, H554)</f>
        <v>85</v>
      </c>
    </row>
    <row r="555" spans="1:14">
      <c r="A555" s="32" t="s">
        <v>2607</v>
      </c>
      <c r="B555" s="26" t="s">
        <v>517</v>
      </c>
      <c r="C555" s="26" t="s">
        <v>518</v>
      </c>
      <c r="D555" s="33">
        <v>103.75</v>
      </c>
      <c r="E555" s="33">
        <v>103.75</v>
      </c>
      <c r="F555" s="26">
        <v>1</v>
      </c>
      <c r="G555" s="35">
        <f>E555/F555</f>
        <v>103.75</v>
      </c>
      <c r="H555" s="37" t="s">
        <v>2392</v>
      </c>
      <c r="I555" s="26" t="s">
        <v>2608</v>
      </c>
      <c r="J555" s="26" t="s">
        <v>2609</v>
      </c>
      <c r="K555" s="26" t="s">
        <v>2610</v>
      </c>
      <c r="L555" s="39" t="s">
        <v>22</v>
      </c>
      <c r="M555" s="8">
        <f>COUNTIF($B$1:$B$1191, B555)</f>
        <v>12</v>
      </c>
      <c r="N555" s="8">
        <f>COUNTIF($H$2:$H$1181, H555)</f>
        <v>85</v>
      </c>
    </row>
    <row r="556" spans="1:14">
      <c r="A556" s="29" t="s">
        <v>2611</v>
      </c>
      <c r="B556" s="30" t="s">
        <v>2612</v>
      </c>
      <c r="C556" s="30" t="s">
        <v>2613</v>
      </c>
      <c r="D556" s="31">
        <v>212.97</v>
      </c>
      <c r="E556" s="31">
        <v>212.97</v>
      </c>
      <c r="F556" s="30">
        <v>1</v>
      </c>
      <c r="G556" s="34">
        <f>E556/F556</f>
        <v>212.97</v>
      </c>
      <c r="H556" s="36" t="s">
        <v>2392</v>
      </c>
      <c r="I556" s="30" t="s">
        <v>2614</v>
      </c>
      <c r="J556" s="30" t="s">
        <v>2615</v>
      </c>
      <c r="K556" s="30" t="s">
        <v>2616</v>
      </c>
      <c r="L556" s="38" t="s">
        <v>22</v>
      </c>
      <c r="M556" s="8">
        <f>COUNTIF($B$1:$B$1191, B556)</f>
        <v>1</v>
      </c>
      <c r="N556" s="8">
        <f>COUNTIF($H$2:$H$1181, H556)</f>
        <v>85</v>
      </c>
    </row>
    <row r="557" spans="1:14">
      <c r="A557" s="32" t="s">
        <v>2617</v>
      </c>
      <c r="B557" s="26" t="s">
        <v>915</v>
      </c>
      <c r="C557" s="26" t="s">
        <v>916</v>
      </c>
      <c r="D557" s="33">
        <v>103.75</v>
      </c>
      <c r="E557" s="33">
        <v>103.75</v>
      </c>
      <c r="F557" s="26">
        <v>1</v>
      </c>
      <c r="G557" s="35">
        <f>E557/F557</f>
        <v>103.75</v>
      </c>
      <c r="H557" s="37" t="s">
        <v>2392</v>
      </c>
      <c r="I557" s="26" t="s">
        <v>2618</v>
      </c>
      <c r="J557" s="26" t="s">
        <v>2619</v>
      </c>
      <c r="K557" s="26" t="s">
        <v>2620</v>
      </c>
      <c r="L557" s="39" t="s">
        <v>22</v>
      </c>
      <c r="M557" s="8">
        <f>COUNTIF($B$1:$B$1191, B557)</f>
        <v>7</v>
      </c>
      <c r="N557" s="8">
        <f>COUNTIF($H$2:$H$1181, H557)</f>
        <v>85</v>
      </c>
    </row>
    <row r="558" spans="1:14">
      <c r="A558" s="29" t="s">
        <v>2621</v>
      </c>
      <c r="B558" s="30" t="s">
        <v>1533</v>
      </c>
      <c r="C558" s="30" t="s">
        <v>1534</v>
      </c>
      <c r="D558" s="31">
        <v>98.29</v>
      </c>
      <c r="E558" s="31">
        <v>98.29</v>
      </c>
      <c r="F558" s="30">
        <v>1</v>
      </c>
      <c r="G558" s="34">
        <f>E558/F558</f>
        <v>98.29</v>
      </c>
      <c r="H558" s="36" t="s">
        <v>2392</v>
      </c>
      <c r="I558" s="30" t="s">
        <v>2622</v>
      </c>
      <c r="J558" s="30" t="s">
        <v>2623</v>
      </c>
      <c r="K558" s="30" t="s">
        <v>2624</v>
      </c>
      <c r="L558" s="38" t="s">
        <v>22</v>
      </c>
      <c r="M558" s="8">
        <f>COUNTIF($B$1:$B$1191, B558)</f>
        <v>4</v>
      </c>
      <c r="N558" s="8">
        <f>COUNTIF($H$2:$H$1181, H558)</f>
        <v>85</v>
      </c>
    </row>
    <row r="559" spans="1:14">
      <c r="A559" s="32" t="s">
        <v>2625</v>
      </c>
      <c r="B559" s="26" t="s">
        <v>498</v>
      </c>
      <c r="C559" s="26" t="s">
        <v>499</v>
      </c>
      <c r="D559" s="33">
        <v>92.83</v>
      </c>
      <c r="E559" s="33">
        <v>92.83</v>
      </c>
      <c r="F559" s="26">
        <v>1</v>
      </c>
      <c r="G559" s="35">
        <f>E559/F559</f>
        <v>92.83</v>
      </c>
      <c r="H559" s="37" t="s">
        <v>2392</v>
      </c>
      <c r="I559" s="26" t="s">
        <v>2626</v>
      </c>
      <c r="J559" s="26" t="s">
        <v>2627</v>
      </c>
      <c r="K559" s="26" t="s">
        <v>2395</v>
      </c>
      <c r="L559" s="39" t="s">
        <v>22</v>
      </c>
      <c r="M559" s="8">
        <f>COUNTIF($B$1:$B$1191, B559)</f>
        <v>9</v>
      </c>
      <c r="N559" s="8">
        <f>COUNTIF($H$2:$H$1181, H559)</f>
        <v>85</v>
      </c>
    </row>
    <row r="560" spans="1:14">
      <c r="A560" s="29" t="s">
        <v>2628</v>
      </c>
      <c r="B560" s="30" t="s">
        <v>498</v>
      </c>
      <c r="C560" s="30" t="s">
        <v>499</v>
      </c>
      <c r="D560" s="31">
        <v>92.83</v>
      </c>
      <c r="E560" s="31">
        <v>92.83</v>
      </c>
      <c r="F560" s="30">
        <v>1</v>
      </c>
      <c r="G560" s="34">
        <f>E560/F560</f>
        <v>92.83</v>
      </c>
      <c r="H560" s="36" t="s">
        <v>2392</v>
      </c>
      <c r="I560" s="30" t="s">
        <v>2629</v>
      </c>
      <c r="J560" s="30" t="s">
        <v>2630</v>
      </c>
      <c r="K560" s="30" t="s">
        <v>2395</v>
      </c>
      <c r="L560" s="38" t="s">
        <v>22</v>
      </c>
      <c r="M560" s="8">
        <f>COUNTIF($B$1:$B$1191, B560)</f>
        <v>9</v>
      </c>
      <c r="N560" s="8">
        <f>COUNTIF($H$2:$H$1181, H560)</f>
        <v>85</v>
      </c>
    </row>
    <row r="561" spans="1:14">
      <c r="A561" s="32" t="s">
        <v>2631</v>
      </c>
      <c r="B561" s="26" t="s">
        <v>753</v>
      </c>
      <c r="C561" s="26" t="s">
        <v>754</v>
      </c>
      <c r="D561" s="33">
        <v>87.37</v>
      </c>
      <c r="E561" s="33">
        <v>87.37</v>
      </c>
      <c r="F561" s="26">
        <v>1</v>
      </c>
      <c r="G561" s="35">
        <f>E561/F561</f>
        <v>87.37</v>
      </c>
      <c r="H561" s="37" t="s">
        <v>2392</v>
      </c>
      <c r="I561" s="26" t="s">
        <v>2632</v>
      </c>
      <c r="J561" s="26" t="s">
        <v>2633</v>
      </c>
      <c r="K561" s="26" t="s">
        <v>2634</v>
      </c>
      <c r="L561" s="39" t="s">
        <v>22</v>
      </c>
      <c r="M561" s="8">
        <f>COUNTIF($B$1:$B$1191, B561)</f>
        <v>24</v>
      </c>
      <c r="N561" s="8">
        <f>COUNTIF($H$2:$H$1181, H561)</f>
        <v>85</v>
      </c>
    </row>
    <row r="562" spans="1:14">
      <c r="A562" s="29" t="s">
        <v>2635</v>
      </c>
      <c r="B562" s="30" t="s">
        <v>2636</v>
      </c>
      <c r="C562" s="30" t="s">
        <v>2637</v>
      </c>
      <c r="D562" s="31">
        <v>81.91</v>
      </c>
      <c r="E562" s="31">
        <v>81.91</v>
      </c>
      <c r="F562" s="30">
        <v>1</v>
      </c>
      <c r="G562" s="34">
        <f>E562/F562</f>
        <v>81.91</v>
      </c>
      <c r="H562" s="36" t="s">
        <v>2392</v>
      </c>
      <c r="I562" s="30" t="s">
        <v>2638</v>
      </c>
      <c r="J562" s="30" t="s">
        <v>2639</v>
      </c>
      <c r="K562" s="30" t="s">
        <v>2640</v>
      </c>
      <c r="L562" s="38" t="s">
        <v>22</v>
      </c>
      <c r="M562" s="8">
        <f>COUNTIF($B$1:$B$1191, B562)</f>
        <v>1</v>
      </c>
      <c r="N562" s="8">
        <f>COUNTIF($H$2:$H$1181, H562)</f>
        <v>85</v>
      </c>
    </row>
    <row r="563" spans="1:14">
      <c r="A563" s="32" t="s">
        <v>2641</v>
      </c>
      <c r="B563" s="26" t="s">
        <v>2642</v>
      </c>
      <c r="C563" s="26" t="s">
        <v>2643</v>
      </c>
      <c r="D563" s="33">
        <v>65.53</v>
      </c>
      <c r="E563" s="33">
        <v>65.53</v>
      </c>
      <c r="F563" s="26">
        <v>1</v>
      </c>
      <c r="G563" s="35">
        <f>E563/F563</f>
        <v>65.53</v>
      </c>
      <c r="H563" s="37" t="s">
        <v>2392</v>
      </c>
      <c r="I563" s="26" t="s">
        <v>2644</v>
      </c>
      <c r="J563" s="26" t="s">
        <v>2645</v>
      </c>
      <c r="K563" s="26" t="s">
        <v>2646</v>
      </c>
      <c r="L563" s="39" t="s">
        <v>22</v>
      </c>
      <c r="M563" s="8">
        <f>COUNTIF($B$1:$B$1191, B563)</f>
        <v>2</v>
      </c>
      <c r="N563" s="8">
        <f>COUNTIF($H$2:$H$1181, H563)</f>
        <v>85</v>
      </c>
    </row>
    <row r="564" spans="1:14">
      <c r="A564" s="29" t="s">
        <v>2647</v>
      </c>
      <c r="B564" s="30" t="s">
        <v>2648</v>
      </c>
      <c r="C564" s="30" t="s">
        <v>2649</v>
      </c>
      <c r="D564" s="31">
        <v>51.82</v>
      </c>
      <c r="E564" s="31">
        <v>51.82</v>
      </c>
      <c r="F564" s="30">
        <v>1</v>
      </c>
      <c r="G564" s="34">
        <f>E564/F564</f>
        <v>51.82</v>
      </c>
      <c r="H564" s="36" t="s">
        <v>2392</v>
      </c>
      <c r="I564" s="30" t="s">
        <v>2650</v>
      </c>
      <c r="J564" s="30" t="s">
        <v>2651</v>
      </c>
      <c r="K564" s="30" t="s">
        <v>2652</v>
      </c>
      <c r="L564" s="38" t="s">
        <v>22</v>
      </c>
      <c r="M564" s="8">
        <f>COUNTIF($B$1:$B$1191, B564)</f>
        <v>1</v>
      </c>
      <c r="N564" s="8">
        <f>COUNTIF($H$2:$H$1181, H564)</f>
        <v>85</v>
      </c>
    </row>
    <row r="565" spans="1:14">
      <c r="A565" s="32" t="s">
        <v>2653</v>
      </c>
      <c r="B565" s="26" t="s">
        <v>404</v>
      </c>
      <c r="C565" s="26" t="s">
        <v>405</v>
      </c>
      <c r="D565" s="33">
        <v>49.15</v>
      </c>
      <c r="E565" s="33">
        <v>49.15</v>
      </c>
      <c r="F565" s="26">
        <v>1</v>
      </c>
      <c r="G565" s="35">
        <f>E565/F565</f>
        <v>49.15</v>
      </c>
      <c r="H565" s="37" t="s">
        <v>2392</v>
      </c>
      <c r="I565" s="26" t="s">
        <v>2654</v>
      </c>
      <c r="J565" s="26" t="s">
        <v>2655</v>
      </c>
      <c r="K565" s="26" t="s">
        <v>2656</v>
      </c>
      <c r="L565" s="39" t="s">
        <v>22</v>
      </c>
      <c r="M565" s="8">
        <f>COUNTIF($B$1:$B$1191, B565)</f>
        <v>3</v>
      </c>
      <c r="N565" s="8">
        <f>COUNTIF($H$2:$H$1181, H565)</f>
        <v>85</v>
      </c>
    </row>
    <row r="566" spans="1:14">
      <c r="A566" s="29" t="s">
        <v>2657</v>
      </c>
      <c r="B566" s="30" t="s">
        <v>1611</v>
      </c>
      <c r="C566" s="30" t="s">
        <v>1612</v>
      </c>
      <c r="D566" s="31">
        <v>81.91</v>
      </c>
      <c r="E566" s="31">
        <v>81.91</v>
      </c>
      <c r="F566" s="30">
        <v>1</v>
      </c>
      <c r="G566" s="34">
        <f>E566/F566</f>
        <v>81.91</v>
      </c>
      <c r="H566" s="36" t="s">
        <v>2392</v>
      </c>
      <c r="I566" s="30" t="s">
        <v>2658</v>
      </c>
      <c r="J566" s="30" t="s">
        <v>2659</v>
      </c>
      <c r="K566" s="30" t="s">
        <v>2660</v>
      </c>
      <c r="L566" s="38" t="s">
        <v>22</v>
      </c>
      <c r="M566" s="8">
        <f>COUNTIF($B$1:$B$1191, B566)</f>
        <v>4</v>
      </c>
      <c r="N566" s="8">
        <f>COUNTIF($H$2:$H$1181, H566)</f>
        <v>85</v>
      </c>
    </row>
    <row r="567" spans="1:14">
      <c r="A567" s="32" t="s">
        <v>2661</v>
      </c>
      <c r="B567" s="26" t="s">
        <v>444</v>
      </c>
      <c r="C567" s="26" t="s">
        <v>444</v>
      </c>
      <c r="D567" s="33">
        <v>81.91</v>
      </c>
      <c r="E567" s="33">
        <v>81.91</v>
      </c>
      <c r="F567" s="26">
        <v>1</v>
      </c>
      <c r="G567" s="35">
        <f>E567/F567</f>
        <v>81.91</v>
      </c>
      <c r="H567" s="37" t="s">
        <v>2392</v>
      </c>
      <c r="I567" s="26" t="s">
        <v>2662</v>
      </c>
      <c r="J567" s="26" t="s">
        <v>2663</v>
      </c>
      <c r="K567" s="26" t="s">
        <v>2664</v>
      </c>
      <c r="L567" s="39" t="s">
        <v>22</v>
      </c>
      <c r="M567" s="8">
        <f>COUNTIF($B$1:$B$1191, B567)</f>
        <v>3</v>
      </c>
      <c r="N567" s="8">
        <f>COUNTIF($H$2:$H$1181, H567)</f>
        <v>85</v>
      </c>
    </row>
    <row r="568" spans="1:14">
      <c r="A568" s="29" t="s">
        <v>2665</v>
      </c>
      <c r="B568" s="30" t="s">
        <v>1227</v>
      </c>
      <c r="C568" s="30" t="s">
        <v>1228</v>
      </c>
      <c r="D568" s="31">
        <v>54.61</v>
      </c>
      <c r="E568" s="31">
        <v>54.61</v>
      </c>
      <c r="F568" s="30">
        <v>1</v>
      </c>
      <c r="G568" s="34">
        <f>E568/F568</f>
        <v>54.61</v>
      </c>
      <c r="H568" s="36" t="s">
        <v>2392</v>
      </c>
      <c r="I568" s="30" t="s">
        <v>2666</v>
      </c>
      <c r="J568" s="30" t="s">
        <v>2667</v>
      </c>
      <c r="K568" s="30" t="s">
        <v>2668</v>
      </c>
      <c r="L568" s="38" t="s">
        <v>22</v>
      </c>
      <c r="M568" s="8">
        <f>COUNTIF($B$1:$B$1191, B568)</f>
        <v>5</v>
      </c>
      <c r="N568" s="8">
        <f>COUNTIF($H$2:$H$1181, H568)</f>
        <v>85</v>
      </c>
    </row>
    <row r="569" spans="1:14">
      <c r="A569" s="32" t="s">
        <v>2669</v>
      </c>
      <c r="B569" s="26" t="s">
        <v>2670</v>
      </c>
      <c r="C569" s="26" t="s">
        <v>2671</v>
      </c>
      <c r="D569" s="33">
        <v>109.21</v>
      </c>
      <c r="E569" s="33">
        <v>109.21</v>
      </c>
      <c r="F569" s="26">
        <v>1</v>
      </c>
      <c r="G569" s="35">
        <f>E569/F569</f>
        <v>109.21</v>
      </c>
      <c r="H569" s="37" t="s">
        <v>2392</v>
      </c>
      <c r="I569" s="26" t="s">
        <v>2672</v>
      </c>
      <c r="J569" s="26" t="s">
        <v>2673</v>
      </c>
      <c r="K569" s="26" t="s">
        <v>2674</v>
      </c>
      <c r="L569" s="39" t="s">
        <v>22</v>
      </c>
      <c r="M569" s="8">
        <f>COUNTIF($B$1:$B$1191, B569)</f>
        <v>1</v>
      </c>
      <c r="N569" s="8">
        <f>COUNTIF($H$2:$H$1181, H569)</f>
        <v>85</v>
      </c>
    </row>
    <row r="570" spans="1:14">
      <c r="A570" s="29" t="s">
        <v>2675</v>
      </c>
      <c r="B570" s="30" t="s">
        <v>2676</v>
      </c>
      <c r="C570" s="30" t="s">
        <v>2677</v>
      </c>
      <c r="D570" s="31">
        <v>158.36000000000001</v>
      </c>
      <c r="E570" s="31">
        <v>158.36000000000001</v>
      </c>
      <c r="F570" s="30">
        <v>1</v>
      </c>
      <c r="G570" s="34">
        <f>E570/F570</f>
        <v>158.36000000000001</v>
      </c>
      <c r="H570" s="36" t="s">
        <v>2392</v>
      </c>
      <c r="I570" s="30" t="s">
        <v>2678</v>
      </c>
      <c r="J570" s="30" t="s">
        <v>2679</v>
      </c>
      <c r="K570" s="30" t="s">
        <v>2680</v>
      </c>
      <c r="L570" s="38" t="s">
        <v>22</v>
      </c>
      <c r="M570" s="8">
        <f>COUNTIF($B$1:$B$1191, B570)</f>
        <v>1</v>
      </c>
      <c r="N570" s="8">
        <f>COUNTIF($H$2:$H$1181, H570)</f>
        <v>85</v>
      </c>
    </row>
    <row r="571" spans="1:14">
      <c r="A571" s="32" t="s">
        <v>2681</v>
      </c>
      <c r="B571" s="26" t="s">
        <v>937</v>
      </c>
      <c r="C571" s="26" t="s">
        <v>938</v>
      </c>
      <c r="D571" s="33">
        <v>136.52000000000001</v>
      </c>
      <c r="E571" s="33">
        <v>136.52000000000001</v>
      </c>
      <c r="F571" s="26">
        <v>1</v>
      </c>
      <c r="G571" s="35">
        <f>E571/F571</f>
        <v>136.52000000000001</v>
      </c>
      <c r="H571" s="37" t="s">
        <v>2392</v>
      </c>
      <c r="I571" s="26" t="s">
        <v>2682</v>
      </c>
      <c r="J571" s="26" t="s">
        <v>2683</v>
      </c>
      <c r="K571" s="26" t="s">
        <v>2684</v>
      </c>
      <c r="L571" s="39" t="s">
        <v>22</v>
      </c>
      <c r="M571" s="8">
        <f>COUNTIF($B$1:$B$1191, B571)</f>
        <v>6</v>
      </c>
      <c r="N571" s="8">
        <f>COUNTIF($H$2:$H$1181, H571)</f>
        <v>85</v>
      </c>
    </row>
    <row r="572" spans="1:14">
      <c r="A572" s="29" t="s">
        <v>2685</v>
      </c>
      <c r="B572" s="30" t="s">
        <v>2686</v>
      </c>
      <c r="C572" s="30" t="s">
        <v>2687</v>
      </c>
      <c r="D572" s="31">
        <v>136.52000000000001</v>
      </c>
      <c r="E572" s="31">
        <v>136.52000000000001</v>
      </c>
      <c r="F572" s="30">
        <v>1</v>
      </c>
      <c r="G572" s="34">
        <f>E572/F572</f>
        <v>136.52000000000001</v>
      </c>
      <c r="H572" s="36" t="s">
        <v>2392</v>
      </c>
      <c r="I572" s="30" t="s">
        <v>2688</v>
      </c>
      <c r="J572" s="30" t="s">
        <v>2689</v>
      </c>
      <c r="K572" s="30" t="s">
        <v>2690</v>
      </c>
      <c r="L572" s="38" t="s">
        <v>22</v>
      </c>
      <c r="M572" s="8">
        <f>COUNTIF($B$1:$B$1191, B572)</f>
        <v>1</v>
      </c>
      <c r="N572" s="8">
        <f>COUNTIF($H$2:$H$1181, H572)</f>
        <v>85</v>
      </c>
    </row>
    <row r="573" spans="1:14">
      <c r="A573" s="32" t="s">
        <v>2691</v>
      </c>
      <c r="B573" s="26" t="s">
        <v>719</v>
      </c>
      <c r="C573" s="26" t="s">
        <v>720</v>
      </c>
      <c r="D573" s="33">
        <v>109.21</v>
      </c>
      <c r="E573" s="33">
        <v>109.21</v>
      </c>
      <c r="F573" s="26">
        <v>1</v>
      </c>
      <c r="G573" s="35">
        <f>E573/F573</f>
        <v>109.21</v>
      </c>
      <c r="H573" s="37" t="s">
        <v>2392</v>
      </c>
      <c r="I573" s="26" t="s">
        <v>2692</v>
      </c>
      <c r="J573" s="26" t="s">
        <v>2693</v>
      </c>
      <c r="K573" s="26" t="s">
        <v>2694</v>
      </c>
      <c r="L573" s="39" t="s">
        <v>22</v>
      </c>
      <c r="M573" s="8">
        <f>COUNTIF($B$1:$B$1191, B573)</f>
        <v>4</v>
      </c>
      <c r="N573" s="8">
        <f>COUNTIF($H$2:$H$1181, H573)</f>
        <v>85</v>
      </c>
    </row>
    <row r="574" spans="1:14">
      <c r="A574" s="29" t="s">
        <v>2695</v>
      </c>
      <c r="B574" s="30" t="s">
        <v>1184</v>
      </c>
      <c r="C574" s="30" t="s">
        <v>1185</v>
      </c>
      <c r="D574" s="31">
        <v>103.75</v>
      </c>
      <c r="E574" s="31">
        <v>103.75</v>
      </c>
      <c r="F574" s="30">
        <v>1</v>
      </c>
      <c r="G574" s="34">
        <f>E574/F574</f>
        <v>103.75</v>
      </c>
      <c r="H574" s="36" t="s">
        <v>2392</v>
      </c>
      <c r="I574" s="30" t="s">
        <v>2696</v>
      </c>
      <c r="J574" s="30" t="s">
        <v>2697</v>
      </c>
      <c r="K574" s="30" t="s">
        <v>2698</v>
      </c>
      <c r="L574" s="38" t="s">
        <v>22</v>
      </c>
      <c r="M574" s="8">
        <f>COUNTIF($B$1:$B$1191, B574)</f>
        <v>4</v>
      </c>
      <c r="N574" s="8">
        <f>COUNTIF($H$2:$H$1181, H574)</f>
        <v>85</v>
      </c>
    </row>
    <row r="575" spans="1:14">
      <c r="A575" s="32" t="s">
        <v>2699</v>
      </c>
      <c r="B575" s="26" t="s">
        <v>2700</v>
      </c>
      <c r="C575" s="26" t="s">
        <v>1354</v>
      </c>
      <c r="D575" s="33">
        <v>103.75</v>
      </c>
      <c r="E575" s="33">
        <v>103.75</v>
      </c>
      <c r="F575" s="26">
        <v>1</v>
      </c>
      <c r="G575" s="35">
        <f>E575/F575</f>
        <v>103.75</v>
      </c>
      <c r="H575" s="37" t="s">
        <v>2392</v>
      </c>
      <c r="I575" s="26" t="s">
        <v>2701</v>
      </c>
      <c r="J575" s="26" t="s">
        <v>2702</v>
      </c>
      <c r="K575" s="26" t="s">
        <v>2703</v>
      </c>
      <c r="L575" s="39" t="s">
        <v>22</v>
      </c>
      <c r="M575" s="8">
        <f>COUNTIF($B$1:$B$1191, B575)</f>
        <v>1</v>
      </c>
      <c r="N575" s="8">
        <f>COUNTIF($H$2:$H$1181, H575)</f>
        <v>85</v>
      </c>
    </row>
    <row r="576" spans="1:14">
      <c r="A576" s="29" t="s">
        <v>2704</v>
      </c>
      <c r="B576" s="30" t="s">
        <v>49</v>
      </c>
      <c r="C576" s="30" t="s">
        <v>50</v>
      </c>
      <c r="D576" s="31">
        <v>103.75</v>
      </c>
      <c r="E576" s="31">
        <v>103.75</v>
      </c>
      <c r="F576" s="30">
        <v>1</v>
      </c>
      <c r="G576" s="34">
        <f>E576/F576</f>
        <v>103.75</v>
      </c>
      <c r="H576" s="36" t="s">
        <v>2392</v>
      </c>
      <c r="I576" s="30" t="s">
        <v>2705</v>
      </c>
      <c r="J576" s="30" t="s">
        <v>2706</v>
      </c>
      <c r="K576" s="30" t="s">
        <v>2707</v>
      </c>
      <c r="L576" s="38" t="s">
        <v>22</v>
      </c>
      <c r="M576" s="8">
        <f>COUNTIF($B$1:$B$1191, B576)</f>
        <v>15</v>
      </c>
      <c r="N576" s="8">
        <f>COUNTIF($H$2:$H$1181, H576)</f>
        <v>85</v>
      </c>
    </row>
    <row r="577" spans="1:14">
      <c r="A577" s="32" t="s">
        <v>2708</v>
      </c>
      <c r="B577" s="26" t="s">
        <v>2709</v>
      </c>
      <c r="C577" s="26" t="s">
        <v>2710</v>
      </c>
      <c r="D577" s="33">
        <v>103.75</v>
      </c>
      <c r="E577" s="33">
        <v>103.75</v>
      </c>
      <c r="F577" s="26">
        <v>1</v>
      </c>
      <c r="G577" s="35">
        <f>E577/F577</f>
        <v>103.75</v>
      </c>
      <c r="H577" s="37" t="s">
        <v>2392</v>
      </c>
      <c r="I577" s="26" t="s">
        <v>2711</v>
      </c>
      <c r="J577" s="26" t="s">
        <v>2712</v>
      </c>
      <c r="K577" s="26" t="s">
        <v>2713</v>
      </c>
      <c r="L577" s="39" t="s">
        <v>22</v>
      </c>
      <c r="M577" s="8">
        <f>COUNTIF($B$1:$B$1191, B577)</f>
        <v>3</v>
      </c>
      <c r="N577" s="8">
        <f>COUNTIF($H$2:$H$1181, H577)</f>
        <v>85</v>
      </c>
    </row>
    <row r="578" spans="1:14">
      <c r="A578" s="29" t="s">
        <v>2714</v>
      </c>
      <c r="B578" s="30" t="s">
        <v>358</v>
      </c>
      <c r="C578" s="30" t="s">
        <v>359</v>
      </c>
      <c r="D578" s="31">
        <v>98.29</v>
      </c>
      <c r="E578" s="31">
        <v>98.29</v>
      </c>
      <c r="F578" s="30">
        <v>1</v>
      </c>
      <c r="G578" s="34">
        <f>E578/F578</f>
        <v>98.29</v>
      </c>
      <c r="H578" s="36" t="s">
        <v>2392</v>
      </c>
      <c r="I578" s="30" t="s">
        <v>2715</v>
      </c>
      <c r="J578" s="30" t="s">
        <v>2716</v>
      </c>
      <c r="K578" s="30" t="s">
        <v>2717</v>
      </c>
      <c r="L578" s="38" t="s">
        <v>22</v>
      </c>
      <c r="M578" s="8">
        <f>COUNTIF($B$1:$B$1191, B578)</f>
        <v>2</v>
      </c>
      <c r="N578" s="8">
        <f>COUNTIF($H$2:$H$1181, H578)</f>
        <v>85</v>
      </c>
    </row>
    <row r="579" spans="1:14">
      <c r="A579" s="32" t="s">
        <v>2718</v>
      </c>
      <c r="B579" s="26" t="s">
        <v>432</v>
      </c>
      <c r="C579" s="26" t="s">
        <v>433</v>
      </c>
      <c r="D579" s="33">
        <v>87.37</v>
      </c>
      <c r="E579" s="33">
        <v>87.37</v>
      </c>
      <c r="F579" s="26">
        <v>1</v>
      </c>
      <c r="G579" s="35">
        <f>E579/F579</f>
        <v>87.37</v>
      </c>
      <c r="H579" s="37" t="s">
        <v>2392</v>
      </c>
      <c r="I579" s="26" t="s">
        <v>2719</v>
      </c>
      <c r="J579" s="26" t="s">
        <v>2720</v>
      </c>
      <c r="K579" s="26" t="s">
        <v>2721</v>
      </c>
      <c r="L579" s="39" t="s">
        <v>22</v>
      </c>
      <c r="M579" s="8">
        <f>COUNTIF($B$1:$B$1191, B579)</f>
        <v>10</v>
      </c>
      <c r="N579" s="8">
        <f>COUNTIF($H$2:$H$1181, H579)</f>
        <v>85</v>
      </c>
    </row>
    <row r="580" spans="1:14">
      <c r="A580" s="29" t="s">
        <v>2722</v>
      </c>
      <c r="B580" s="30" t="s">
        <v>753</v>
      </c>
      <c r="C580" s="30" t="s">
        <v>754</v>
      </c>
      <c r="D580" s="31">
        <v>81.91</v>
      </c>
      <c r="E580" s="31">
        <v>81.91</v>
      </c>
      <c r="F580" s="30">
        <v>1</v>
      </c>
      <c r="G580" s="34">
        <f>E580/F580</f>
        <v>81.91</v>
      </c>
      <c r="H580" s="36" t="s">
        <v>2392</v>
      </c>
      <c r="I580" s="30" t="s">
        <v>2723</v>
      </c>
      <c r="J580" s="30" t="s">
        <v>2724</v>
      </c>
      <c r="K580" s="30" t="s">
        <v>2725</v>
      </c>
      <c r="L580" s="38" t="s">
        <v>22</v>
      </c>
      <c r="M580" s="8">
        <f>COUNTIF($B$1:$B$1191, B580)</f>
        <v>24</v>
      </c>
      <c r="N580" s="8">
        <f>COUNTIF($H$2:$H$1181, H580)</f>
        <v>85</v>
      </c>
    </row>
    <row r="581" spans="1:14">
      <c r="A581" s="32" t="s">
        <v>2726</v>
      </c>
      <c r="B581" s="26" t="s">
        <v>2727</v>
      </c>
      <c r="C581" s="26" t="s">
        <v>1612</v>
      </c>
      <c r="D581" s="33">
        <v>76.45</v>
      </c>
      <c r="E581" s="33">
        <v>76.45</v>
      </c>
      <c r="F581" s="26">
        <v>1</v>
      </c>
      <c r="G581" s="35">
        <f>E581/F581</f>
        <v>76.45</v>
      </c>
      <c r="H581" s="37" t="s">
        <v>2392</v>
      </c>
      <c r="I581" s="26" t="s">
        <v>2728</v>
      </c>
      <c r="J581" s="26" t="s">
        <v>2729</v>
      </c>
      <c r="K581" s="26" t="s">
        <v>2730</v>
      </c>
      <c r="L581" s="39" t="s">
        <v>22</v>
      </c>
      <c r="M581" s="8">
        <f>COUNTIF($B$1:$B$1191, B581)</f>
        <v>2</v>
      </c>
      <c r="N581" s="8">
        <f>COUNTIF($H$2:$H$1181, H581)</f>
        <v>85</v>
      </c>
    </row>
    <row r="582" spans="1:14">
      <c r="A582" s="29" t="s">
        <v>2731</v>
      </c>
      <c r="B582" s="30" t="s">
        <v>698</v>
      </c>
      <c r="C582" s="30" t="s">
        <v>699</v>
      </c>
      <c r="D582" s="31">
        <v>65.53</v>
      </c>
      <c r="E582" s="31">
        <v>65.53</v>
      </c>
      <c r="F582" s="30">
        <v>1</v>
      </c>
      <c r="G582" s="34">
        <f>E582/F582</f>
        <v>65.53</v>
      </c>
      <c r="H582" s="36" t="s">
        <v>2392</v>
      </c>
      <c r="I582" s="30" t="s">
        <v>2732</v>
      </c>
      <c r="J582" s="30" t="s">
        <v>2733</v>
      </c>
      <c r="K582" s="30" t="s">
        <v>2734</v>
      </c>
      <c r="L582" s="38" t="s">
        <v>22</v>
      </c>
      <c r="M582" s="8">
        <f>COUNTIF($B$1:$B$1191, B582)</f>
        <v>2</v>
      </c>
      <c r="N582" s="8">
        <f>COUNTIF($H$2:$H$1181, H582)</f>
        <v>85</v>
      </c>
    </row>
    <row r="583" spans="1:14">
      <c r="A583" s="32" t="s">
        <v>2735</v>
      </c>
      <c r="B583" s="26" t="s">
        <v>2736</v>
      </c>
      <c r="C583" s="26" t="s">
        <v>2737</v>
      </c>
      <c r="D583" s="33">
        <v>54.61</v>
      </c>
      <c r="E583" s="33">
        <v>54.61</v>
      </c>
      <c r="F583" s="26">
        <v>1</v>
      </c>
      <c r="G583" s="35">
        <f>E583/F583</f>
        <v>54.61</v>
      </c>
      <c r="H583" s="37" t="s">
        <v>2392</v>
      </c>
      <c r="I583" s="26" t="s">
        <v>2738</v>
      </c>
      <c r="J583" s="26" t="s">
        <v>2739</v>
      </c>
      <c r="K583" s="26" t="s">
        <v>2740</v>
      </c>
      <c r="L583" s="39" t="s">
        <v>22</v>
      </c>
      <c r="M583" s="8">
        <f>COUNTIF($B$1:$B$1191, B583)</f>
        <v>1</v>
      </c>
      <c r="N583" s="8">
        <f>COUNTIF($H$2:$H$1181, H583)</f>
        <v>85</v>
      </c>
    </row>
    <row r="584" spans="1:14">
      <c r="A584" s="29" t="s">
        <v>2741</v>
      </c>
      <c r="B584" s="30" t="s">
        <v>373</v>
      </c>
      <c r="C584" s="30" t="s">
        <v>374</v>
      </c>
      <c r="D584" s="31">
        <v>54.61</v>
      </c>
      <c r="E584" s="31">
        <v>54.61</v>
      </c>
      <c r="F584" s="30">
        <v>1</v>
      </c>
      <c r="G584" s="34">
        <f>E584/F584</f>
        <v>54.61</v>
      </c>
      <c r="H584" s="36" t="s">
        <v>2392</v>
      </c>
      <c r="I584" s="30" t="s">
        <v>2742</v>
      </c>
      <c r="J584" s="30" t="s">
        <v>2743</v>
      </c>
      <c r="K584" s="30" t="s">
        <v>2744</v>
      </c>
      <c r="L584" s="38" t="s">
        <v>22</v>
      </c>
      <c r="M584" s="8">
        <f>COUNTIF($B$1:$B$1191, B584)</f>
        <v>2</v>
      </c>
      <c r="N584" s="8">
        <f>COUNTIF($H$2:$H$1181, H584)</f>
        <v>85</v>
      </c>
    </row>
    <row r="585" spans="1:14">
      <c r="A585" s="32" t="s">
        <v>2745</v>
      </c>
      <c r="B585" s="26" t="s">
        <v>2409</v>
      </c>
      <c r="C585" s="26" t="s">
        <v>2410</v>
      </c>
      <c r="D585" s="33">
        <v>81.91</v>
      </c>
      <c r="E585" s="33">
        <v>81.91</v>
      </c>
      <c r="F585" s="26">
        <v>1</v>
      </c>
      <c r="G585" s="35">
        <f>E585/F585</f>
        <v>81.91</v>
      </c>
      <c r="H585" s="37" t="s">
        <v>2392</v>
      </c>
      <c r="I585" s="26" t="s">
        <v>2746</v>
      </c>
      <c r="J585" s="26" t="s">
        <v>2747</v>
      </c>
      <c r="K585" s="26" t="s">
        <v>2748</v>
      </c>
      <c r="L585" s="39" t="s">
        <v>22</v>
      </c>
      <c r="M585" s="8">
        <f>COUNTIF($B$1:$B$1191, B585)</f>
        <v>5</v>
      </c>
      <c r="N585" s="8">
        <f>COUNTIF($H$2:$H$1181, H585)</f>
        <v>85</v>
      </c>
    </row>
    <row r="586" spans="1:14">
      <c r="A586" s="29" t="s">
        <v>2749</v>
      </c>
      <c r="B586" s="30" t="s">
        <v>65</v>
      </c>
      <c r="C586" s="30" t="s">
        <v>66</v>
      </c>
      <c r="D586" s="31">
        <v>98.29</v>
      </c>
      <c r="E586" s="31">
        <v>98.29</v>
      </c>
      <c r="F586" s="30">
        <v>1</v>
      </c>
      <c r="G586" s="34">
        <f>E586/F586</f>
        <v>98.29</v>
      </c>
      <c r="H586" s="36" t="s">
        <v>2392</v>
      </c>
      <c r="I586" s="30" t="s">
        <v>2750</v>
      </c>
      <c r="J586" s="30" t="s">
        <v>2751</v>
      </c>
      <c r="K586" s="30" t="s">
        <v>2752</v>
      </c>
      <c r="L586" s="38" t="s">
        <v>22</v>
      </c>
      <c r="M586" s="8">
        <f>COUNTIF($B$1:$B$1191, B586)</f>
        <v>9</v>
      </c>
      <c r="N586" s="8">
        <f>COUNTIF($H$2:$H$1181, H586)</f>
        <v>85</v>
      </c>
    </row>
    <row r="587" spans="1:14">
      <c r="A587" s="32" t="s">
        <v>2753</v>
      </c>
      <c r="B587" s="26" t="s">
        <v>438</v>
      </c>
      <c r="C587" s="26" t="s">
        <v>439</v>
      </c>
      <c r="D587" s="33">
        <v>87.37</v>
      </c>
      <c r="E587" s="33">
        <v>87.37</v>
      </c>
      <c r="F587" s="26">
        <v>1</v>
      </c>
      <c r="G587" s="35">
        <f>E587/F587</f>
        <v>87.37</v>
      </c>
      <c r="H587" s="37" t="s">
        <v>2392</v>
      </c>
      <c r="I587" s="26" t="s">
        <v>2754</v>
      </c>
      <c r="J587" s="26" t="s">
        <v>2755</v>
      </c>
      <c r="K587" s="26" t="s">
        <v>2756</v>
      </c>
      <c r="L587" s="39" t="s">
        <v>22</v>
      </c>
      <c r="M587" s="8">
        <f>COUNTIF($B$1:$B$1191, B587)</f>
        <v>14</v>
      </c>
      <c r="N587" s="8">
        <f>COUNTIF($H$2:$H$1181, H587)</f>
        <v>85</v>
      </c>
    </row>
    <row r="588" spans="1:14">
      <c r="A588" s="29" t="s">
        <v>2757</v>
      </c>
      <c r="B588" s="30" t="s">
        <v>2758</v>
      </c>
      <c r="C588" s="30" t="s">
        <v>2759</v>
      </c>
      <c r="D588" s="31">
        <v>60.07</v>
      </c>
      <c r="E588" s="31">
        <v>60.07</v>
      </c>
      <c r="F588" s="30">
        <v>1</v>
      </c>
      <c r="G588" s="34">
        <f>E588/F588</f>
        <v>60.07</v>
      </c>
      <c r="H588" s="36" t="s">
        <v>2392</v>
      </c>
      <c r="I588" s="30" t="s">
        <v>2760</v>
      </c>
      <c r="J588" s="30" t="s">
        <v>2761</v>
      </c>
      <c r="K588" s="30" t="s">
        <v>2762</v>
      </c>
      <c r="L588" s="38" t="s">
        <v>22</v>
      </c>
      <c r="M588" s="8">
        <f>COUNTIF($B$1:$B$1191, B588)</f>
        <v>1</v>
      </c>
      <c r="N588" s="8">
        <f>COUNTIF($H$2:$H$1181, H588)</f>
        <v>85</v>
      </c>
    </row>
    <row r="589" spans="1:14">
      <c r="A589" s="32" t="s">
        <v>2763</v>
      </c>
      <c r="B589" s="26" t="s">
        <v>2526</v>
      </c>
      <c r="C589" s="26" t="s">
        <v>2527</v>
      </c>
      <c r="D589" s="33">
        <v>87.37</v>
      </c>
      <c r="E589" s="33">
        <v>87.37</v>
      </c>
      <c r="F589" s="26">
        <v>1</v>
      </c>
      <c r="G589" s="35">
        <f>E589/F589</f>
        <v>87.37</v>
      </c>
      <c r="H589" s="37" t="s">
        <v>2392</v>
      </c>
      <c r="I589" s="26" t="s">
        <v>2764</v>
      </c>
      <c r="J589" s="26" t="s">
        <v>2765</v>
      </c>
      <c r="K589" s="26" t="s">
        <v>2766</v>
      </c>
      <c r="L589" s="39" t="s">
        <v>22</v>
      </c>
      <c r="M589" s="8">
        <f>COUNTIF($B$1:$B$1191, B589)</f>
        <v>2</v>
      </c>
      <c r="N589" s="8">
        <f>COUNTIF($H$2:$H$1181, H589)</f>
        <v>85</v>
      </c>
    </row>
    <row r="590" spans="1:14">
      <c r="A590" s="29" t="s">
        <v>2767</v>
      </c>
      <c r="B590" s="30" t="s">
        <v>937</v>
      </c>
      <c r="C590" s="30" t="s">
        <v>938</v>
      </c>
      <c r="D590" s="31">
        <v>136.52000000000001</v>
      </c>
      <c r="E590" s="31">
        <v>136.52000000000001</v>
      </c>
      <c r="F590" s="30">
        <v>1</v>
      </c>
      <c r="G590" s="34">
        <f>E590/F590</f>
        <v>136.52000000000001</v>
      </c>
      <c r="H590" s="36" t="s">
        <v>2392</v>
      </c>
      <c r="I590" s="30" t="s">
        <v>2768</v>
      </c>
      <c r="J590" s="30" t="s">
        <v>2769</v>
      </c>
      <c r="K590" s="30" t="s">
        <v>2770</v>
      </c>
      <c r="L590" s="38" t="s">
        <v>22</v>
      </c>
      <c r="M590" s="8">
        <f>COUNTIF($B$1:$B$1191, B590)</f>
        <v>6</v>
      </c>
      <c r="N590" s="8">
        <f>COUNTIF($H$2:$H$1181, H590)</f>
        <v>85</v>
      </c>
    </row>
    <row r="591" spans="1:14">
      <c r="A591" s="32" t="s">
        <v>2771</v>
      </c>
      <c r="B591" s="26" t="s">
        <v>100</v>
      </c>
      <c r="C591" s="26" t="s">
        <v>101</v>
      </c>
      <c r="D591" s="33">
        <v>131.06</v>
      </c>
      <c r="E591" s="33">
        <v>131.06</v>
      </c>
      <c r="F591" s="26">
        <v>1</v>
      </c>
      <c r="G591" s="35">
        <f>E591/F591</f>
        <v>131.06</v>
      </c>
      <c r="H591" s="37" t="s">
        <v>2392</v>
      </c>
      <c r="I591" s="26" t="s">
        <v>2772</v>
      </c>
      <c r="J591" s="26" t="s">
        <v>2773</v>
      </c>
      <c r="K591" s="26" t="s">
        <v>2774</v>
      </c>
      <c r="L591" s="39" t="s">
        <v>22</v>
      </c>
      <c r="M591" s="8">
        <f>COUNTIF($B$1:$B$1191, B591)</f>
        <v>6</v>
      </c>
      <c r="N591" s="8">
        <f>COUNTIF($H$2:$H$1181, H591)</f>
        <v>85</v>
      </c>
    </row>
    <row r="592" spans="1:14">
      <c r="A592" s="29" t="s">
        <v>2775</v>
      </c>
      <c r="B592" s="30" t="s">
        <v>438</v>
      </c>
      <c r="C592" s="30" t="s">
        <v>439</v>
      </c>
      <c r="D592" s="31">
        <v>92.83</v>
      </c>
      <c r="E592" s="31">
        <v>92.83</v>
      </c>
      <c r="F592" s="30">
        <v>1</v>
      </c>
      <c r="G592" s="34">
        <f>E592/F592</f>
        <v>92.83</v>
      </c>
      <c r="H592" s="36" t="s">
        <v>2392</v>
      </c>
      <c r="I592" s="30" t="s">
        <v>2776</v>
      </c>
      <c r="J592" s="30" t="s">
        <v>2777</v>
      </c>
      <c r="K592" s="30" t="s">
        <v>2778</v>
      </c>
      <c r="L592" s="38" t="s">
        <v>22</v>
      </c>
      <c r="M592" s="8">
        <f>COUNTIF($B$1:$B$1191, B592)</f>
        <v>14</v>
      </c>
      <c r="N592" s="8">
        <f>COUNTIF($H$2:$H$1181, H592)</f>
        <v>85</v>
      </c>
    </row>
    <row r="593" spans="1:14">
      <c r="A593" s="32" t="s">
        <v>2779</v>
      </c>
      <c r="B593" s="26" t="s">
        <v>346</v>
      </c>
      <c r="C593" s="26" t="s">
        <v>347</v>
      </c>
      <c r="D593" s="33">
        <v>92.83</v>
      </c>
      <c r="E593" s="33">
        <v>92.83</v>
      </c>
      <c r="F593" s="26">
        <v>1</v>
      </c>
      <c r="G593" s="35">
        <f>E593/F593</f>
        <v>92.83</v>
      </c>
      <c r="H593" s="37" t="s">
        <v>2392</v>
      </c>
      <c r="I593" s="26" t="s">
        <v>2780</v>
      </c>
      <c r="J593" s="26" t="s">
        <v>2781</v>
      </c>
      <c r="K593" s="26" t="s">
        <v>2782</v>
      </c>
      <c r="L593" s="39" t="s">
        <v>22</v>
      </c>
      <c r="M593" s="8">
        <f>COUNTIF($B$1:$B$1191, B593)</f>
        <v>11</v>
      </c>
      <c r="N593" s="8">
        <f>COUNTIF($H$2:$H$1181, H593)</f>
        <v>85</v>
      </c>
    </row>
    <row r="594" spans="1:14">
      <c r="A594" s="29" t="s">
        <v>2783</v>
      </c>
      <c r="B594" s="30" t="s">
        <v>2784</v>
      </c>
      <c r="C594" s="30" t="s">
        <v>2785</v>
      </c>
      <c r="D594" s="31">
        <v>376.79</v>
      </c>
      <c r="E594" s="31">
        <v>376.79</v>
      </c>
      <c r="F594" s="30">
        <v>1</v>
      </c>
      <c r="G594" s="34">
        <f>E594/F594</f>
        <v>376.79</v>
      </c>
      <c r="H594" s="36" t="s">
        <v>2786</v>
      </c>
      <c r="I594" s="30" t="s">
        <v>2787</v>
      </c>
      <c r="J594" s="30" t="s">
        <v>2788</v>
      </c>
      <c r="K594" s="30" t="s">
        <v>2789</v>
      </c>
      <c r="L594" s="38" t="s">
        <v>22</v>
      </c>
      <c r="M594" s="8">
        <f>COUNTIF($B$1:$B$1191, B594)</f>
        <v>1</v>
      </c>
      <c r="N594" s="8">
        <f>COUNTIF($H$2:$H$1181, H594)</f>
        <v>62</v>
      </c>
    </row>
    <row r="595" spans="1:14">
      <c r="A595" s="32" t="s">
        <v>2790</v>
      </c>
      <c r="B595" s="26" t="s">
        <v>2791</v>
      </c>
      <c r="C595" s="26" t="s">
        <v>284</v>
      </c>
      <c r="D595" s="33">
        <v>103.75</v>
      </c>
      <c r="E595" s="33">
        <v>103.75</v>
      </c>
      <c r="F595" s="26">
        <v>1</v>
      </c>
      <c r="G595" s="35">
        <f>E595/F595</f>
        <v>103.75</v>
      </c>
      <c r="H595" s="37" t="s">
        <v>2786</v>
      </c>
      <c r="I595" s="26" t="s">
        <v>2792</v>
      </c>
      <c r="J595" s="26" t="s">
        <v>2793</v>
      </c>
      <c r="K595" s="26" t="s">
        <v>2794</v>
      </c>
      <c r="L595" s="39" t="s">
        <v>22</v>
      </c>
      <c r="M595" s="8">
        <f>COUNTIF($B$1:$B$1191, B595)</f>
        <v>1</v>
      </c>
      <c r="N595" s="8">
        <f>COUNTIF($H$2:$H$1181, H595)</f>
        <v>62</v>
      </c>
    </row>
    <row r="596" spans="1:14">
      <c r="A596" s="29" t="s">
        <v>2795</v>
      </c>
      <c r="B596" s="30" t="s">
        <v>1895</v>
      </c>
      <c r="C596" s="30" t="s">
        <v>1896</v>
      </c>
      <c r="D596" s="31">
        <v>109.21</v>
      </c>
      <c r="E596" s="31">
        <v>109.21</v>
      </c>
      <c r="F596" s="30">
        <v>1</v>
      </c>
      <c r="G596" s="34">
        <f>E596/F596</f>
        <v>109.21</v>
      </c>
      <c r="H596" s="36" t="s">
        <v>2786</v>
      </c>
      <c r="I596" s="30" t="s">
        <v>2796</v>
      </c>
      <c r="J596" s="30" t="s">
        <v>2797</v>
      </c>
      <c r="K596" s="30" t="s">
        <v>2798</v>
      </c>
      <c r="L596" s="38" t="s">
        <v>22</v>
      </c>
      <c r="M596" s="8">
        <f>COUNTIF($B$1:$B$1191, B596)</f>
        <v>9</v>
      </c>
      <c r="N596" s="8">
        <f>COUNTIF($H$2:$H$1181, H596)</f>
        <v>62</v>
      </c>
    </row>
    <row r="597" spans="1:14">
      <c r="A597" s="32" t="s">
        <v>2799</v>
      </c>
      <c r="B597" s="26" t="s">
        <v>2800</v>
      </c>
      <c r="C597" s="26" t="s">
        <v>2801</v>
      </c>
      <c r="D597" s="33">
        <v>109.21</v>
      </c>
      <c r="E597" s="33">
        <v>109.21</v>
      </c>
      <c r="F597" s="26">
        <v>1</v>
      </c>
      <c r="G597" s="35">
        <f>E597/F597</f>
        <v>109.21</v>
      </c>
      <c r="H597" s="37" t="s">
        <v>2786</v>
      </c>
      <c r="I597" s="26" t="s">
        <v>2802</v>
      </c>
      <c r="J597" s="26" t="s">
        <v>2803</v>
      </c>
      <c r="K597" s="26" t="s">
        <v>2804</v>
      </c>
      <c r="L597" s="39" t="s">
        <v>22</v>
      </c>
      <c r="M597" s="8">
        <f>COUNTIF($B$1:$B$1191, B597)</f>
        <v>1</v>
      </c>
      <c r="N597" s="8">
        <f>COUNTIF($H$2:$H$1181, H597)</f>
        <v>62</v>
      </c>
    </row>
    <row r="598" spans="1:14">
      <c r="A598" s="29" t="s">
        <v>2805</v>
      </c>
      <c r="B598" s="30" t="s">
        <v>517</v>
      </c>
      <c r="C598" s="30" t="s">
        <v>518</v>
      </c>
      <c r="D598" s="31">
        <v>103.75</v>
      </c>
      <c r="E598" s="31">
        <v>103.75</v>
      </c>
      <c r="F598" s="30">
        <v>1</v>
      </c>
      <c r="G598" s="34">
        <f>E598/F598</f>
        <v>103.75</v>
      </c>
      <c r="H598" s="36" t="s">
        <v>2786</v>
      </c>
      <c r="I598" s="30" t="s">
        <v>2806</v>
      </c>
      <c r="J598" s="30" t="s">
        <v>2807</v>
      </c>
      <c r="K598" s="30" t="s">
        <v>2808</v>
      </c>
      <c r="L598" s="38" t="s">
        <v>22</v>
      </c>
      <c r="M598" s="8">
        <f>COUNTIF($B$1:$B$1191, B598)</f>
        <v>12</v>
      </c>
      <c r="N598" s="8">
        <f>COUNTIF($H$2:$H$1181, H598)</f>
        <v>62</v>
      </c>
    </row>
    <row r="599" spans="1:14">
      <c r="A599" s="32" t="s">
        <v>2809</v>
      </c>
      <c r="B599" s="26" t="s">
        <v>1122</v>
      </c>
      <c r="C599" s="26" t="s">
        <v>1123</v>
      </c>
      <c r="D599" s="33">
        <v>81.91</v>
      </c>
      <c r="E599" s="33">
        <v>81.91</v>
      </c>
      <c r="F599" s="26">
        <v>1</v>
      </c>
      <c r="G599" s="35">
        <f>E599/F599</f>
        <v>81.91</v>
      </c>
      <c r="H599" s="37" t="s">
        <v>2786</v>
      </c>
      <c r="I599" s="26" t="s">
        <v>2810</v>
      </c>
      <c r="J599" s="26" t="s">
        <v>2811</v>
      </c>
      <c r="K599" s="26" t="s">
        <v>2812</v>
      </c>
      <c r="L599" s="39" t="s">
        <v>22</v>
      </c>
      <c r="M599" s="8">
        <f>COUNTIF($B$1:$B$1191, B599)</f>
        <v>3</v>
      </c>
      <c r="N599" s="8">
        <f>COUNTIF($H$2:$H$1181, H599)</f>
        <v>62</v>
      </c>
    </row>
    <row r="600" spans="1:14">
      <c r="A600" s="29" t="s">
        <v>2813</v>
      </c>
      <c r="B600" s="30" t="s">
        <v>1827</v>
      </c>
      <c r="C600" s="30" t="s">
        <v>1828</v>
      </c>
      <c r="D600" s="31">
        <v>114.68</v>
      </c>
      <c r="E600" s="31">
        <v>114.68</v>
      </c>
      <c r="F600" s="30">
        <v>1</v>
      </c>
      <c r="G600" s="34">
        <f>E600/F600</f>
        <v>114.68</v>
      </c>
      <c r="H600" s="36" t="s">
        <v>2786</v>
      </c>
      <c r="I600" s="30" t="s">
        <v>2814</v>
      </c>
      <c r="J600" s="30" t="s">
        <v>2815</v>
      </c>
      <c r="K600" s="30" t="s">
        <v>2816</v>
      </c>
      <c r="L600" s="38" t="s">
        <v>22</v>
      </c>
      <c r="M600" s="8">
        <f>COUNTIF($B$1:$B$1191, B600)</f>
        <v>5</v>
      </c>
      <c r="N600" s="8">
        <f>COUNTIF($H$2:$H$1181, H600)</f>
        <v>62</v>
      </c>
    </row>
    <row r="601" spans="1:14">
      <c r="A601" s="32" t="s">
        <v>2817</v>
      </c>
      <c r="B601" s="26" t="s">
        <v>2818</v>
      </c>
      <c r="C601" s="26" t="s">
        <v>2819</v>
      </c>
      <c r="D601" s="33">
        <v>103.75</v>
      </c>
      <c r="E601" s="33">
        <v>103.75</v>
      </c>
      <c r="F601" s="26">
        <v>1</v>
      </c>
      <c r="G601" s="35">
        <f>E601/F601</f>
        <v>103.75</v>
      </c>
      <c r="H601" s="37" t="s">
        <v>2786</v>
      </c>
      <c r="I601" s="26" t="s">
        <v>2820</v>
      </c>
      <c r="J601" s="26" t="s">
        <v>2821</v>
      </c>
      <c r="K601" s="26" t="s">
        <v>2822</v>
      </c>
      <c r="L601" s="39" t="s">
        <v>22</v>
      </c>
      <c r="M601" s="8">
        <f>COUNTIF($B$1:$B$1191, B601)</f>
        <v>2</v>
      </c>
      <c r="N601" s="8">
        <f>COUNTIF($H$2:$H$1181, H601)</f>
        <v>62</v>
      </c>
    </row>
    <row r="602" spans="1:14">
      <c r="A602" s="29" t="s">
        <v>2823</v>
      </c>
      <c r="B602" s="30" t="s">
        <v>753</v>
      </c>
      <c r="C602" s="30" t="s">
        <v>754</v>
      </c>
      <c r="D602" s="31">
        <v>81.91</v>
      </c>
      <c r="E602" s="31">
        <v>81.91</v>
      </c>
      <c r="F602" s="30">
        <v>1</v>
      </c>
      <c r="G602" s="34">
        <f>E602/F602</f>
        <v>81.91</v>
      </c>
      <c r="H602" s="36" t="s">
        <v>2786</v>
      </c>
      <c r="I602" s="30" t="s">
        <v>2824</v>
      </c>
      <c r="J602" s="30" t="s">
        <v>2825</v>
      </c>
      <c r="K602" s="30" t="s">
        <v>2826</v>
      </c>
      <c r="L602" s="38" t="s">
        <v>22</v>
      </c>
      <c r="M602" s="8">
        <f>COUNTIF($B$1:$B$1191, B602)</f>
        <v>24</v>
      </c>
      <c r="N602" s="8">
        <f>COUNTIF($H$2:$H$1181, H602)</f>
        <v>62</v>
      </c>
    </row>
    <row r="603" spans="1:14">
      <c r="A603" s="32" t="s">
        <v>2827</v>
      </c>
      <c r="B603" s="26" t="s">
        <v>2828</v>
      </c>
      <c r="C603" s="26" t="s">
        <v>2829</v>
      </c>
      <c r="D603" s="33">
        <v>70.989999999999995</v>
      </c>
      <c r="E603" s="33">
        <v>70.989999999999995</v>
      </c>
      <c r="F603" s="26">
        <v>1</v>
      </c>
      <c r="G603" s="35">
        <f>E603/F603</f>
        <v>70.989999999999995</v>
      </c>
      <c r="H603" s="37" t="s">
        <v>2786</v>
      </c>
      <c r="I603" s="26" t="s">
        <v>2830</v>
      </c>
      <c r="J603" s="26" t="s">
        <v>2831</v>
      </c>
      <c r="K603" s="26" t="s">
        <v>2832</v>
      </c>
      <c r="L603" s="39" t="s">
        <v>22</v>
      </c>
      <c r="M603" s="8">
        <f>COUNTIF($B$1:$B$1191, B603)</f>
        <v>1</v>
      </c>
      <c r="N603" s="8">
        <f>COUNTIF($H$2:$H$1181, H603)</f>
        <v>62</v>
      </c>
    </row>
    <row r="604" spans="1:14">
      <c r="A604" s="29" t="s">
        <v>2833</v>
      </c>
      <c r="B604" s="30" t="s">
        <v>2834</v>
      </c>
      <c r="C604" s="30" t="s">
        <v>2835</v>
      </c>
      <c r="D604" s="31">
        <v>65.53</v>
      </c>
      <c r="E604" s="31">
        <v>65.53</v>
      </c>
      <c r="F604" s="30">
        <v>1</v>
      </c>
      <c r="G604" s="34">
        <f>E604/F604</f>
        <v>65.53</v>
      </c>
      <c r="H604" s="36" t="s">
        <v>2786</v>
      </c>
      <c r="I604" s="30" t="s">
        <v>2836</v>
      </c>
      <c r="J604" s="30" t="s">
        <v>2837</v>
      </c>
      <c r="K604" s="30" t="s">
        <v>2838</v>
      </c>
      <c r="L604" s="38" t="s">
        <v>22</v>
      </c>
      <c r="M604" s="8">
        <f>COUNTIF($B$1:$B$1191, B604)</f>
        <v>1</v>
      </c>
      <c r="N604" s="8">
        <f>COUNTIF($H$2:$H$1181, H604)</f>
        <v>62</v>
      </c>
    </row>
    <row r="605" spans="1:14">
      <c r="A605" s="32" t="s">
        <v>2839</v>
      </c>
      <c r="B605" s="26" t="s">
        <v>379</v>
      </c>
      <c r="C605" s="26" t="s">
        <v>379</v>
      </c>
      <c r="D605" s="33">
        <v>114.68</v>
      </c>
      <c r="E605" s="33">
        <v>114.68</v>
      </c>
      <c r="F605" s="26">
        <v>1</v>
      </c>
      <c r="G605" s="35">
        <f>E605/F605</f>
        <v>114.68</v>
      </c>
      <c r="H605" s="37" t="s">
        <v>2786</v>
      </c>
      <c r="I605" s="26" t="s">
        <v>2840</v>
      </c>
      <c r="J605" s="26" t="s">
        <v>2841</v>
      </c>
      <c r="K605" s="26" t="s">
        <v>2842</v>
      </c>
      <c r="L605" s="39" t="s">
        <v>22</v>
      </c>
      <c r="M605" s="8">
        <f>COUNTIF($B$1:$B$1191, B605)</f>
        <v>19</v>
      </c>
      <c r="N605" s="8">
        <f>COUNTIF($H$2:$H$1181, H605)</f>
        <v>62</v>
      </c>
    </row>
    <row r="606" spans="1:14">
      <c r="A606" s="29" t="s">
        <v>2843</v>
      </c>
      <c r="B606" s="30" t="s">
        <v>2191</v>
      </c>
      <c r="C606" s="30" t="s">
        <v>2192</v>
      </c>
      <c r="D606" s="31">
        <v>103.75</v>
      </c>
      <c r="E606" s="31">
        <v>103.75</v>
      </c>
      <c r="F606" s="30">
        <v>1</v>
      </c>
      <c r="G606" s="34">
        <f>E606/F606</f>
        <v>103.75</v>
      </c>
      <c r="H606" s="36" t="s">
        <v>2786</v>
      </c>
      <c r="I606" s="30" t="s">
        <v>2844</v>
      </c>
      <c r="J606" s="30" t="s">
        <v>2845</v>
      </c>
      <c r="K606" s="30" t="s">
        <v>2846</v>
      </c>
      <c r="L606" s="38" t="s">
        <v>22</v>
      </c>
      <c r="M606" s="8">
        <f>COUNTIF($B$1:$B$1191, B606)</f>
        <v>2</v>
      </c>
      <c r="N606" s="8">
        <f>COUNTIF($H$2:$H$1181, H606)</f>
        <v>62</v>
      </c>
    </row>
    <row r="607" spans="1:14">
      <c r="A607" s="32" t="s">
        <v>2847</v>
      </c>
      <c r="B607" s="26" t="s">
        <v>2818</v>
      </c>
      <c r="C607" s="26" t="s">
        <v>2819</v>
      </c>
      <c r="D607" s="33">
        <v>103.75</v>
      </c>
      <c r="E607" s="33">
        <v>103.75</v>
      </c>
      <c r="F607" s="26">
        <v>1</v>
      </c>
      <c r="G607" s="35">
        <f>E607/F607</f>
        <v>103.75</v>
      </c>
      <c r="H607" s="37" t="s">
        <v>2786</v>
      </c>
      <c r="I607" s="26" t="s">
        <v>2848</v>
      </c>
      <c r="J607" s="26" t="s">
        <v>2849</v>
      </c>
      <c r="K607" s="26" t="s">
        <v>2850</v>
      </c>
      <c r="L607" s="39" t="s">
        <v>22</v>
      </c>
      <c r="M607" s="8">
        <f>COUNTIF($B$1:$B$1191, B607)</f>
        <v>2</v>
      </c>
      <c r="N607" s="8">
        <f>COUNTIF($H$2:$H$1181, H607)</f>
        <v>62</v>
      </c>
    </row>
    <row r="608" spans="1:14">
      <c r="A608" s="29" t="s">
        <v>2851</v>
      </c>
      <c r="B608" s="30" t="s">
        <v>1122</v>
      </c>
      <c r="C608" s="30" t="s">
        <v>1123</v>
      </c>
      <c r="D608" s="31">
        <v>81.91</v>
      </c>
      <c r="E608" s="31">
        <v>81.91</v>
      </c>
      <c r="F608" s="30">
        <v>1</v>
      </c>
      <c r="G608" s="34">
        <f>E608/F608</f>
        <v>81.91</v>
      </c>
      <c r="H608" s="36" t="s">
        <v>2786</v>
      </c>
      <c r="I608" s="30" t="s">
        <v>2852</v>
      </c>
      <c r="J608" s="30" t="s">
        <v>2853</v>
      </c>
      <c r="K608" s="30" t="s">
        <v>2854</v>
      </c>
      <c r="L608" s="38" t="s">
        <v>22</v>
      </c>
      <c r="M608" s="8">
        <f>COUNTIF($B$1:$B$1191, B608)</f>
        <v>3</v>
      </c>
      <c r="N608" s="8">
        <f>COUNTIF($H$2:$H$1181, H608)</f>
        <v>62</v>
      </c>
    </row>
    <row r="609" spans="1:14">
      <c r="A609" s="32" t="s">
        <v>2855</v>
      </c>
      <c r="B609" s="26" t="s">
        <v>2856</v>
      </c>
      <c r="C609" s="26" t="s">
        <v>2857</v>
      </c>
      <c r="D609" s="33">
        <v>65.53</v>
      </c>
      <c r="E609" s="33">
        <v>65.53</v>
      </c>
      <c r="F609" s="26">
        <v>1</v>
      </c>
      <c r="G609" s="35">
        <f>E609/F609</f>
        <v>65.53</v>
      </c>
      <c r="H609" s="37" t="s">
        <v>2786</v>
      </c>
      <c r="I609" s="26" t="s">
        <v>2858</v>
      </c>
      <c r="J609" s="26" t="s">
        <v>2859</v>
      </c>
      <c r="K609" s="26" t="s">
        <v>2860</v>
      </c>
      <c r="L609" s="39" t="s">
        <v>22</v>
      </c>
      <c r="M609" s="8">
        <f>COUNTIF($B$1:$B$1191, B609)</f>
        <v>3</v>
      </c>
      <c r="N609" s="8">
        <f>COUNTIF($H$2:$H$1181, H609)</f>
        <v>62</v>
      </c>
    </row>
    <row r="610" spans="1:14">
      <c r="A610" s="29" t="s">
        <v>2861</v>
      </c>
      <c r="B610" s="30" t="s">
        <v>2862</v>
      </c>
      <c r="C610" s="30" t="s">
        <v>2862</v>
      </c>
      <c r="D610" s="31">
        <v>98.29</v>
      </c>
      <c r="E610" s="31">
        <v>98.29</v>
      </c>
      <c r="F610" s="30">
        <v>1</v>
      </c>
      <c r="G610" s="34">
        <f>E610/F610</f>
        <v>98.29</v>
      </c>
      <c r="H610" s="36" t="s">
        <v>2786</v>
      </c>
      <c r="I610" s="30" t="s">
        <v>2863</v>
      </c>
      <c r="J610" s="30" t="s">
        <v>2864</v>
      </c>
      <c r="K610" s="30" t="s">
        <v>2865</v>
      </c>
      <c r="L610" s="38" t="s">
        <v>22</v>
      </c>
      <c r="M610" s="8">
        <f>COUNTIF($B$1:$B$1191, B610)</f>
        <v>1</v>
      </c>
      <c r="N610" s="8">
        <f>COUNTIF($H$2:$H$1181, H610)</f>
        <v>62</v>
      </c>
    </row>
    <row r="611" spans="1:14">
      <c r="A611" s="32" t="s">
        <v>2866</v>
      </c>
      <c r="B611" s="26" t="s">
        <v>1156</v>
      </c>
      <c r="C611" s="26" t="s">
        <v>1157</v>
      </c>
      <c r="D611" s="33">
        <v>81.91</v>
      </c>
      <c r="E611" s="33">
        <v>81.91</v>
      </c>
      <c r="F611" s="26">
        <v>1</v>
      </c>
      <c r="G611" s="35">
        <f>E611/F611</f>
        <v>81.91</v>
      </c>
      <c r="H611" s="37" t="s">
        <v>2786</v>
      </c>
      <c r="I611" s="26" t="s">
        <v>2867</v>
      </c>
      <c r="J611" s="26" t="s">
        <v>2868</v>
      </c>
      <c r="K611" s="26" t="s">
        <v>2869</v>
      </c>
      <c r="L611" s="39" t="s">
        <v>22</v>
      </c>
      <c r="M611" s="8">
        <f>COUNTIF($B$1:$B$1191, B611)</f>
        <v>6</v>
      </c>
      <c r="N611" s="8">
        <f>COUNTIF($H$2:$H$1181, H611)</f>
        <v>62</v>
      </c>
    </row>
    <row r="612" spans="1:14">
      <c r="A612" s="29" t="s">
        <v>2870</v>
      </c>
      <c r="B612" s="30" t="s">
        <v>165</v>
      </c>
      <c r="C612" s="30" t="s">
        <v>165</v>
      </c>
      <c r="D612" s="31">
        <v>49.15</v>
      </c>
      <c r="E612" s="31">
        <v>49.15</v>
      </c>
      <c r="F612" s="30">
        <v>1</v>
      </c>
      <c r="G612" s="34">
        <f>E612/F612</f>
        <v>49.15</v>
      </c>
      <c r="H612" s="36" t="s">
        <v>2786</v>
      </c>
      <c r="I612" s="30" t="s">
        <v>2871</v>
      </c>
      <c r="J612" s="30" t="s">
        <v>2872</v>
      </c>
      <c r="K612" s="30" t="s">
        <v>2873</v>
      </c>
      <c r="L612" s="38" t="s">
        <v>22</v>
      </c>
      <c r="M612" s="8">
        <f>COUNTIF($B$1:$B$1191, B612)</f>
        <v>9</v>
      </c>
      <c r="N612" s="8">
        <f>COUNTIF($H$2:$H$1181, H612)</f>
        <v>62</v>
      </c>
    </row>
    <row r="613" spans="1:14">
      <c r="A613" s="32" t="s">
        <v>2874</v>
      </c>
      <c r="B613" s="26" t="s">
        <v>94</v>
      </c>
      <c r="C613" s="26" t="s">
        <v>95</v>
      </c>
      <c r="D613" s="33">
        <v>114.68</v>
      </c>
      <c r="E613" s="33">
        <v>114.68</v>
      </c>
      <c r="F613" s="26">
        <v>1</v>
      </c>
      <c r="G613" s="35">
        <f>E613/F613</f>
        <v>114.68</v>
      </c>
      <c r="H613" s="37" t="s">
        <v>2786</v>
      </c>
      <c r="I613" s="26" t="s">
        <v>2875</v>
      </c>
      <c r="J613" s="26" t="s">
        <v>2876</v>
      </c>
      <c r="K613" s="26" t="s">
        <v>2877</v>
      </c>
      <c r="L613" s="39" t="s">
        <v>22</v>
      </c>
      <c r="M613" s="8">
        <f>COUNTIF($B$1:$B$1191, B613)</f>
        <v>4</v>
      </c>
      <c r="N613" s="8">
        <f>COUNTIF($H$2:$H$1181, H613)</f>
        <v>62</v>
      </c>
    </row>
    <row r="614" spans="1:14">
      <c r="A614" s="29" t="s">
        <v>2878</v>
      </c>
      <c r="B614" s="30" t="s">
        <v>2879</v>
      </c>
      <c r="C614" s="30" t="s">
        <v>2880</v>
      </c>
      <c r="D614" s="31">
        <v>92.83</v>
      </c>
      <c r="E614" s="31">
        <v>92.83</v>
      </c>
      <c r="F614" s="30">
        <v>1</v>
      </c>
      <c r="G614" s="34">
        <f>E614/F614</f>
        <v>92.83</v>
      </c>
      <c r="H614" s="36" t="s">
        <v>2786</v>
      </c>
      <c r="I614" s="30" t="s">
        <v>2881</v>
      </c>
      <c r="J614" s="30" t="s">
        <v>2882</v>
      </c>
      <c r="K614" s="30" t="s">
        <v>2883</v>
      </c>
      <c r="L614" s="38" t="s">
        <v>22</v>
      </c>
      <c r="M614" s="8">
        <f>COUNTIF($B$1:$B$1191, B614)</f>
        <v>2</v>
      </c>
      <c r="N614" s="8">
        <f>COUNTIF($H$2:$H$1181, H614)</f>
        <v>62</v>
      </c>
    </row>
    <row r="615" spans="1:14">
      <c r="A615" s="32" t="s">
        <v>2884</v>
      </c>
      <c r="B615" s="26" t="s">
        <v>2885</v>
      </c>
      <c r="C615" s="26" t="s">
        <v>2886</v>
      </c>
      <c r="D615" s="33">
        <v>92.83</v>
      </c>
      <c r="E615" s="33">
        <v>92.83</v>
      </c>
      <c r="F615" s="26">
        <v>1</v>
      </c>
      <c r="G615" s="35">
        <f>E615/F615</f>
        <v>92.83</v>
      </c>
      <c r="H615" s="37" t="s">
        <v>2786</v>
      </c>
      <c r="I615" s="26" t="s">
        <v>2887</v>
      </c>
      <c r="J615" s="26" t="s">
        <v>2888</v>
      </c>
      <c r="K615" s="26" t="s">
        <v>2889</v>
      </c>
      <c r="L615" s="39" t="s">
        <v>22</v>
      </c>
      <c r="M615" s="8">
        <f>COUNTIF($B$1:$B$1191, B615)</f>
        <v>1</v>
      </c>
      <c r="N615" s="8">
        <f>COUNTIF($H$2:$H$1181, H615)</f>
        <v>62</v>
      </c>
    </row>
    <row r="616" spans="1:14">
      <c r="A616" s="29" t="s">
        <v>2890</v>
      </c>
      <c r="B616" s="30" t="s">
        <v>1329</v>
      </c>
      <c r="C616" s="30" t="s">
        <v>1330</v>
      </c>
      <c r="D616" s="31">
        <v>81.91</v>
      </c>
      <c r="E616" s="31">
        <v>81.91</v>
      </c>
      <c r="F616" s="30">
        <v>1</v>
      </c>
      <c r="G616" s="34">
        <f>E616/F616</f>
        <v>81.91</v>
      </c>
      <c r="H616" s="36" t="s">
        <v>2786</v>
      </c>
      <c r="I616" s="30" t="s">
        <v>2891</v>
      </c>
      <c r="J616" s="30" t="s">
        <v>2892</v>
      </c>
      <c r="K616" s="30" t="s">
        <v>2893</v>
      </c>
      <c r="L616" s="38" t="s">
        <v>22</v>
      </c>
      <c r="M616" s="8">
        <f>COUNTIF($B$1:$B$1191, B616)</f>
        <v>4</v>
      </c>
      <c r="N616" s="8">
        <f>COUNTIF($H$2:$H$1181, H616)</f>
        <v>62</v>
      </c>
    </row>
    <row r="617" spans="1:14">
      <c r="A617" s="32" t="s">
        <v>2894</v>
      </c>
      <c r="B617" s="26" t="s">
        <v>465</v>
      </c>
      <c r="C617" s="26" t="s">
        <v>466</v>
      </c>
      <c r="D617" s="33">
        <v>81.91</v>
      </c>
      <c r="E617" s="33">
        <v>81.91</v>
      </c>
      <c r="F617" s="26">
        <v>1</v>
      </c>
      <c r="G617" s="35">
        <f>E617/F617</f>
        <v>81.91</v>
      </c>
      <c r="H617" s="37" t="s">
        <v>2786</v>
      </c>
      <c r="I617" s="26" t="s">
        <v>2895</v>
      </c>
      <c r="J617" s="26" t="s">
        <v>2896</v>
      </c>
      <c r="K617" s="26" t="s">
        <v>2897</v>
      </c>
      <c r="L617" s="39" t="s">
        <v>22</v>
      </c>
      <c r="M617" s="8">
        <f>COUNTIF($B$1:$B$1191, B617)</f>
        <v>8</v>
      </c>
      <c r="N617" s="8">
        <f>COUNTIF($H$2:$H$1181, H617)</f>
        <v>62</v>
      </c>
    </row>
    <row r="618" spans="1:14">
      <c r="A618" s="29" t="s">
        <v>2898</v>
      </c>
      <c r="B618" s="30" t="s">
        <v>404</v>
      </c>
      <c r="C618" s="30" t="s">
        <v>405</v>
      </c>
      <c r="D618" s="31">
        <v>54.61</v>
      </c>
      <c r="E618" s="31">
        <v>54.61</v>
      </c>
      <c r="F618" s="30">
        <v>1</v>
      </c>
      <c r="G618" s="34">
        <f>E618/F618</f>
        <v>54.61</v>
      </c>
      <c r="H618" s="36" t="s">
        <v>2786</v>
      </c>
      <c r="I618" s="30" t="s">
        <v>2899</v>
      </c>
      <c r="J618" s="30" t="s">
        <v>2900</v>
      </c>
      <c r="K618" s="30" t="s">
        <v>2901</v>
      </c>
      <c r="L618" s="38" t="s">
        <v>22</v>
      </c>
      <c r="M618" s="8">
        <f>COUNTIF($B$1:$B$1191, B618)</f>
        <v>3</v>
      </c>
      <c r="N618" s="8">
        <f>COUNTIF($H$2:$H$1181, H618)</f>
        <v>62</v>
      </c>
    </row>
    <row r="619" spans="1:14">
      <c r="A619" s="32" t="s">
        <v>2902</v>
      </c>
      <c r="B619" s="26" t="s">
        <v>753</v>
      </c>
      <c r="C619" s="26" t="s">
        <v>754</v>
      </c>
      <c r="D619" s="33">
        <v>120.14</v>
      </c>
      <c r="E619" s="33">
        <v>120.14</v>
      </c>
      <c r="F619" s="26">
        <v>1</v>
      </c>
      <c r="G619" s="35">
        <f>E619/F619</f>
        <v>120.14</v>
      </c>
      <c r="H619" s="37" t="s">
        <v>2786</v>
      </c>
      <c r="I619" s="26" t="s">
        <v>2903</v>
      </c>
      <c r="J619" s="26" t="s">
        <v>2904</v>
      </c>
      <c r="K619" s="26" t="s">
        <v>2905</v>
      </c>
      <c r="L619" s="39" t="s">
        <v>22</v>
      </c>
      <c r="M619" s="8">
        <f>COUNTIF($B$1:$B$1191, B619)</f>
        <v>24</v>
      </c>
      <c r="N619" s="8">
        <f>COUNTIF($H$2:$H$1181, H619)</f>
        <v>62</v>
      </c>
    </row>
    <row r="620" spans="1:14">
      <c r="A620" s="29" t="s">
        <v>2906</v>
      </c>
      <c r="B620" s="30" t="s">
        <v>1053</v>
      </c>
      <c r="C620" s="30" t="s">
        <v>506</v>
      </c>
      <c r="D620" s="31">
        <v>136.52000000000001</v>
      </c>
      <c r="E620" s="31">
        <v>136.52000000000001</v>
      </c>
      <c r="F620" s="30">
        <v>1</v>
      </c>
      <c r="G620" s="34">
        <f>E620/F620</f>
        <v>136.52000000000001</v>
      </c>
      <c r="H620" s="36" t="s">
        <v>2786</v>
      </c>
      <c r="I620" s="30" t="s">
        <v>2907</v>
      </c>
      <c r="J620" s="30" t="s">
        <v>2908</v>
      </c>
      <c r="K620" s="30" t="s">
        <v>2909</v>
      </c>
      <c r="L620" s="38" t="s">
        <v>22</v>
      </c>
      <c r="M620" s="8">
        <f>COUNTIF($B$1:$B$1191, B620)</f>
        <v>20</v>
      </c>
      <c r="N620" s="8">
        <f>COUNTIF($H$2:$H$1181, H620)</f>
        <v>62</v>
      </c>
    </row>
    <row r="621" spans="1:14">
      <c r="A621" s="32" t="s">
        <v>2910</v>
      </c>
      <c r="B621" s="26" t="s">
        <v>88</v>
      </c>
      <c r="C621" s="26" t="s">
        <v>89</v>
      </c>
      <c r="D621" s="33">
        <v>114.68</v>
      </c>
      <c r="E621" s="33">
        <v>114.68</v>
      </c>
      <c r="F621" s="26">
        <v>1</v>
      </c>
      <c r="G621" s="35">
        <f>E621/F621</f>
        <v>114.68</v>
      </c>
      <c r="H621" s="37" t="s">
        <v>2786</v>
      </c>
      <c r="I621" s="26" t="s">
        <v>2911</v>
      </c>
      <c r="J621" s="26" t="s">
        <v>2912</v>
      </c>
      <c r="K621" s="26" t="s">
        <v>2913</v>
      </c>
      <c r="L621" s="39" t="s">
        <v>22</v>
      </c>
      <c r="M621" s="8">
        <f>COUNTIF($B$1:$B$1191, B621)</f>
        <v>4</v>
      </c>
      <c r="N621" s="8">
        <f>COUNTIF($H$2:$H$1181, H621)</f>
        <v>62</v>
      </c>
    </row>
    <row r="622" spans="1:14">
      <c r="A622" s="29" t="s">
        <v>2914</v>
      </c>
      <c r="B622" s="30" t="s">
        <v>2915</v>
      </c>
      <c r="C622" s="30" t="s">
        <v>2915</v>
      </c>
      <c r="D622" s="31">
        <v>103.75</v>
      </c>
      <c r="E622" s="31">
        <v>103.75</v>
      </c>
      <c r="F622" s="30">
        <v>1</v>
      </c>
      <c r="G622" s="34">
        <f>E622/F622</f>
        <v>103.75</v>
      </c>
      <c r="H622" s="36" t="s">
        <v>2786</v>
      </c>
      <c r="I622" s="30" t="s">
        <v>2916</v>
      </c>
      <c r="J622" s="30" t="s">
        <v>2917</v>
      </c>
      <c r="K622" s="30" t="s">
        <v>2918</v>
      </c>
      <c r="L622" s="38" t="s">
        <v>22</v>
      </c>
      <c r="M622" s="8">
        <f>COUNTIF($B$1:$B$1191, B622)</f>
        <v>1</v>
      </c>
      <c r="N622" s="8">
        <f>COUNTIF($H$2:$H$1181, H622)</f>
        <v>62</v>
      </c>
    </row>
    <row r="623" spans="1:14">
      <c r="A623" s="32" t="s">
        <v>2919</v>
      </c>
      <c r="B623" s="26" t="s">
        <v>2264</v>
      </c>
      <c r="C623" s="26" t="s">
        <v>2265</v>
      </c>
      <c r="D623" s="33">
        <v>92.83</v>
      </c>
      <c r="E623" s="33">
        <v>92.83</v>
      </c>
      <c r="F623" s="26">
        <v>1</v>
      </c>
      <c r="G623" s="35">
        <f>E623/F623</f>
        <v>92.83</v>
      </c>
      <c r="H623" s="37" t="s">
        <v>2786</v>
      </c>
      <c r="I623" s="26" t="s">
        <v>2920</v>
      </c>
      <c r="J623" s="26" t="s">
        <v>2921</v>
      </c>
      <c r="K623" s="26" t="s">
        <v>2922</v>
      </c>
      <c r="L623" s="39" t="s">
        <v>22</v>
      </c>
      <c r="M623" s="8">
        <f>COUNTIF($B$1:$B$1191, B623)</f>
        <v>2</v>
      </c>
      <c r="N623" s="8">
        <f>COUNTIF($H$2:$H$1181, H623)</f>
        <v>62</v>
      </c>
    </row>
    <row r="624" spans="1:14">
      <c r="A624" s="29" t="s">
        <v>2923</v>
      </c>
      <c r="B624" s="30" t="s">
        <v>270</v>
      </c>
      <c r="C624" s="30" t="s">
        <v>271</v>
      </c>
      <c r="D624" s="31">
        <v>431.4</v>
      </c>
      <c r="E624" s="31">
        <v>486.01</v>
      </c>
      <c r="F624" s="30">
        <v>18</v>
      </c>
      <c r="G624" s="34">
        <f>E624/F624</f>
        <v>27.000555555555554</v>
      </c>
      <c r="H624" s="36" t="s">
        <v>2786</v>
      </c>
      <c r="I624" s="30" t="s">
        <v>2924</v>
      </c>
      <c r="J624" s="30" t="s">
        <v>2925</v>
      </c>
      <c r="K624" s="30" t="s">
        <v>2926</v>
      </c>
      <c r="L624" s="38" t="s">
        <v>22</v>
      </c>
      <c r="M624" s="8">
        <f>COUNTIF($B$1:$B$1191, B624)</f>
        <v>5</v>
      </c>
      <c r="N624" s="8">
        <f>COUNTIF($H$2:$H$1181, H624)</f>
        <v>62</v>
      </c>
    </row>
    <row r="625" spans="1:14">
      <c r="A625" s="32" t="s">
        <v>2927</v>
      </c>
      <c r="B625" s="26" t="s">
        <v>1268</v>
      </c>
      <c r="C625" s="26" t="s">
        <v>1269</v>
      </c>
      <c r="D625" s="33">
        <v>158.36000000000001</v>
      </c>
      <c r="E625" s="33">
        <v>158.36000000000001</v>
      </c>
      <c r="F625" s="26">
        <v>1</v>
      </c>
      <c r="G625" s="35">
        <f>E625/F625</f>
        <v>158.36000000000001</v>
      </c>
      <c r="H625" s="37" t="s">
        <v>2786</v>
      </c>
      <c r="I625" s="26" t="s">
        <v>2928</v>
      </c>
      <c r="J625" s="26" t="s">
        <v>2929</v>
      </c>
      <c r="K625" s="26" t="s">
        <v>2930</v>
      </c>
      <c r="L625" s="39" t="s">
        <v>22</v>
      </c>
      <c r="M625" s="8">
        <f>COUNTIF($B$1:$B$1191, B625)</f>
        <v>5</v>
      </c>
      <c r="N625" s="8">
        <f>COUNTIF($H$2:$H$1181, H625)</f>
        <v>62</v>
      </c>
    </row>
    <row r="626" spans="1:14">
      <c r="A626" s="29" t="s">
        <v>2931</v>
      </c>
      <c r="B626" s="30" t="s">
        <v>606</v>
      </c>
      <c r="C626" s="30" t="s">
        <v>607</v>
      </c>
      <c r="D626" s="31">
        <v>136.52000000000001</v>
      </c>
      <c r="E626" s="31">
        <v>136.52000000000001</v>
      </c>
      <c r="F626" s="30">
        <v>1</v>
      </c>
      <c r="G626" s="34">
        <f>E626/F626</f>
        <v>136.52000000000001</v>
      </c>
      <c r="H626" s="36" t="s">
        <v>2786</v>
      </c>
      <c r="I626" s="30" t="s">
        <v>2932</v>
      </c>
      <c r="J626" s="30" t="s">
        <v>2933</v>
      </c>
      <c r="K626" s="30" t="s">
        <v>2934</v>
      </c>
      <c r="L626" s="38" t="s">
        <v>22</v>
      </c>
      <c r="M626" s="8">
        <f>COUNTIF($B$1:$B$1191, B626)</f>
        <v>6</v>
      </c>
      <c r="N626" s="8">
        <f>COUNTIF($H$2:$H$1181, H626)</f>
        <v>62</v>
      </c>
    </row>
    <row r="627" spans="1:14">
      <c r="A627" s="32" t="s">
        <v>2935</v>
      </c>
      <c r="B627" s="26" t="s">
        <v>1053</v>
      </c>
      <c r="C627" s="26" t="s">
        <v>506</v>
      </c>
      <c r="D627" s="33">
        <v>136.52000000000001</v>
      </c>
      <c r="E627" s="33">
        <v>136.52000000000001</v>
      </c>
      <c r="F627" s="26">
        <v>1</v>
      </c>
      <c r="G627" s="35">
        <f>E627/F627</f>
        <v>136.52000000000001</v>
      </c>
      <c r="H627" s="37" t="s">
        <v>2786</v>
      </c>
      <c r="I627" s="26" t="s">
        <v>2936</v>
      </c>
      <c r="J627" s="26" t="s">
        <v>2937</v>
      </c>
      <c r="K627" s="26" t="s">
        <v>2938</v>
      </c>
      <c r="L627" s="39" t="s">
        <v>22</v>
      </c>
      <c r="M627" s="8">
        <f>COUNTIF($B$1:$B$1191, B627)</f>
        <v>20</v>
      </c>
      <c r="N627" s="8">
        <f>COUNTIF($H$2:$H$1181, H627)</f>
        <v>62</v>
      </c>
    </row>
    <row r="628" spans="1:14">
      <c r="A628" s="29" t="s">
        <v>2939</v>
      </c>
      <c r="B628" s="30" t="s">
        <v>2940</v>
      </c>
      <c r="C628" s="30" t="s">
        <v>2941</v>
      </c>
      <c r="D628" s="31">
        <v>92.83</v>
      </c>
      <c r="E628" s="31">
        <v>92.83</v>
      </c>
      <c r="F628" s="30">
        <v>1</v>
      </c>
      <c r="G628" s="34">
        <f>E628/F628</f>
        <v>92.83</v>
      </c>
      <c r="H628" s="36" t="s">
        <v>2786</v>
      </c>
      <c r="I628" s="30" t="s">
        <v>2942</v>
      </c>
      <c r="J628" s="30" t="s">
        <v>2943</v>
      </c>
      <c r="K628" s="30" t="s">
        <v>2944</v>
      </c>
      <c r="L628" s="38" t="s">
        <v>22</v>
      </c>
      <c r="M628" s="8">
        <f>COUNTIF($B$1:$B$1191, B628)</f>
        <v>1</v>
      </c>
      <c r="N628" s="8">
        <f>COUNTIF($H$2:$H$1181, H628)</f>
        <v>62</v>
      </c>
    </row>
    <row r="629" spans="1:14">
      <c r="A629" s="32" t="s">
        <v>2945</v>
      </c>
      <c r="B629" s="26" t="s">
        <v>813</v>
      </c>
      <c r="C629" s="26" t="s">
        <v>814</v>
      </c>
      <c r="D629" s="33">
        <v>92.83</v>
      </c>
      <c r="E629" s="33">
        <v>92.83</v>
      </c>
      <c r="F629" s="26">
        <v>1</v>
      </c>
      <c r="G629" s="35">
        <f>E629/F629</f>
        <v>92.83</v>
      </c>
      <c r="H629" s="37" t="s">
        <v>2786</v>
      </c>
      <c r="I629" s="26" t="s">
        <v>2946</v>
      </c>
      <c r="J629" s="26" t="s">
        <v>2947</v>
      </c>
      <c r="K629" s="26" t="s">
        <v>2948</v>
      </c>
      <c r="L629" s="39" t="s">
        <v>22</v>
      </c>
      <c r="M629" s="8">
        <f>COUNTIF($B$1:$B$1191, B629)</f>
        <v>6</v>
      </c>
      <c r="N629" s="8">
        <f>COUNTIF($H$2:$H$1181, H629)</f>
        <v>62</v>
      </c>
    </row>
    <row r="630" spans="1:14">
      <c r="A630" s="29" t="s">
        <v>2949</v>
      </c>
      <c r="B630" s="30" t="s">
        <v>432</v>
      </c>
      <c r="C630" s="30" t="s">
        <v>433</v>
      </c>
      <c r="D630" s="31">
        <v>87.37</v>
      </c>
      <c r="E630" s="31">
        <v>87.37</v>
      </c>
      <c r="F630" s="30">
        <v>1</v>
      </c>
      <c r="G630" s="34">
        <f>E630/F630</f>
        <v>87.37</v>
      </c>
      <c r="H630" s="36" t="s">
        <v>2786</v>
      </c>
      <c r="I630" s="30" t="s">
        <v>2950</v>
      </c>
      <c r="J630" s="30" t="s">
        <v>2951</v>
      </c>
      <c r="K630" s="30" t="s">
        <v>2952</v>
      </c>
      <c r="L630" s="38" t="s">
        <v>22</v>
      </c>
      <c r="M630" s="8">
        <f>COUNTIF($B$1:$B$1191, B630)</f>
        <v>10</v>
      </c>
      <c r="N630" s="8">
        <f>COUNTIF($H$2:$H$1181, H630)</f>
        <v>62</v>
      </c>
    </row>
    <row r="631" spans="1:14">
      <c r="A631" s="32" t="s">
        <v>2953</v>
      </c>
      <c r="B631" s="26" t="s">
        <v>1156</v>
      </c>
      <c r="C631" s="26" t="s">
        <v>1157</v>
      </c>
      <c r="D631" s="33">
        <v>81.91</v>
      </c>
      <c r="E631" s="33">
        <v>81.91</v>
      </c>
      <c r="F631" s="26">
        <v>1</v>
      </c>
      <c r="G631" s="35">
        <f>E631/F631</f>
        <v>81.91</v>
      </c>
      <c r="H631" s="37" t="s">
        <v>2786</v>
      </c>
      <c r="I631" s="26" t="s">
        <v>2954</v>
      </c>
      <c r="J631" s="26" t="s">
        <v>2955</v>
      </c>
      <c r="K631" s="26" t="s">
        <v>2956</v>
      </c>
      <c r="L631" s="39" t="s">
        <v>22</v>
      </c>
      <c r="M631" s="8">
        <f>COUNTIF($B$1:$B$1191, B631)</f>
        <v>6</v>
      </c>
      <c r="N631" s="8">
        <f>COUNTIF($H$2:$H$1181, H631)</f>
        <v>62</v>
      </c>
    </row>
    <row r="632" spans="1:14">
      <c r="A632" s="29" t="s">
        <v>2957</v>
      </c>
      <c r="B632" s="30" t="s">
        <v>2409</v>
      </c>
      <c r="C632" s="30" t="s">
        <v>2410</v>
      </c>
      <c r="D632" s="31">
        <v>81.91</v>
      </c>
      <c r="E632" s="31">
        <v>81.91</v>
      </c>
      <c r="F632" s="30">
        <v>1</v>
      </c>
      <c r="G632" s="34">
        <f>E632/F632</f>
        <v>81.91</v>
      </c>
      <c r="H632" s="36" t="s">
        <v>2786</v>
      </c>
      <c r="I632" s="30" t="s">
        <v>2958</v>
      </c>
      <c r="J632" s="30" t="s">
        <v>2959</v>
      </c>
      <c r="K632" s="30" t="s">
        <v>2960</v>
      </c>
      <c r="L632" s="38" t="s">
        <v>22</v>
      </c>
      <c r="M632" s="8">
        <f>COUNTIF($B$1:$B$1191, B632)</f>
        <v>5</v>
      </c>
      <c r="N632" s="8">
        <f>COUNTIF($H$2:$H$1181, H632)</f>
        <v>62</v>
      </c>
    </row>
    <row r="633" spans="1:14">
      <c r="A633" s="32" t="s">
        <v>2961</v>
      </c>
      <c r="B633" s="26" t="s">
        <v>1932</v>
      </c>
      <c r="C633" s="26" t="s">
        <v>1933</v>
      </c>
      <c r="D633" s="33">
        <v>136.52000000000001</v>
      </c>
      <c r="E633" s="33">
        <v>136.52000000000001</v>
      </c>
      <c r="F633" s="26">
        <v>1</v>
      </c>
      <c r="G633" s="35">
        <f>E633/F633</f>
        <v>136.52000000000001</v>
      </c>
      <c r="H633" s="37" t="s">
        <v>2786</v>
      </c>
      <c r="I633" s="26" t="s">
        <v>2962</v>
      </c>
      <c r="J633" s="26" t="s">
        <v>2963</v>
      </c>
      <c r="K633" s="26" t="s">
        <v>2964</v>
      </c>
      <c r="L633" s="39" t="s">
        <v>22</v>
      </c>
      <c r="M633" s="8">
        <f>COUNTIF($B$1:$B$1191, B633)</f>
        <v>2</v>
      </c>
      <c r="N633" s="8">
        <f>COUNTIF($H$2:$H$1181, H633)</f>
        <v>62</v>
      </c>
    </row>
    <row r="634" spans="1:14">
      <c r="A634" s="29" t="s">
        <v>2965</v>
      </c>
      <c r="B634" s="30" t="s">
        <v>1827</v>
      </c>
      <c r="C634" s="30" t="s">
        <v>1828</v>
      </c>
      <c r="D634" s="31">
        <v>114.68</v>
      </c>
      <c r="E634" s="31">
        <v>114.68</v>
      </c>
      <c r="F634" s="30">
        <v>1</v>
      </c>
      <c r="G634" s="34">
        <f>E634/F634</f>
        <v>114.68</v>
      </c>
      <c r="H634" s="36" t="s">
        <v>2786</v>
      </c>
      <c r="I634" s="30" t="s">
        <v>2966</v>
      </c>
      <c r="J634" s="30" t="s">
        <v>2967</v>
      </c>
      <c r="K634" s="30" t="s">
        <v>2968</v>
      </c>
      <c r="L634" s="38" t="s">
        <v>22</v>
      </c>
      <c r="M634" s="8">
        <f>COUNTIF($B$1:$B$1191, B634)</f>
        <v>5</v>
      </c>
      <c r="N634" s="8">
        <f>COUNTIF($H$2:$H$1181, H634)</f>
        <v>62</v>
      </c>
    </row>
    <row r="635" spans="1:14">
      <c r="A635" s="32" t="s">
        <v>2969</v>
      </c>
      <c r="B635" s="26" t="s">
        <v>1827</v>
      </c>
      <c r="C635" s="26" t="s">
        <v>1828</v>
      </c>
      <c r="D635" s="33">
        <v>103.75</v>
      </c>
      <c r="E635" s="33">
        <v>103.75</v>
      </c>
      <c r="F635" s="26">
        <v>1</v>
      </c>
      <c r="G635" s="35">
        <f>E635/F635</f>
        <v>103.75</v>
      </c>
      <c r="H635" s="37" t="s">
        <v>2786</v>
      </c>
      <c r="I635" s="26" t="s">
        <v>2970</v>
      </c>
      <c r="J635" s="26" t="s">
        <v>2971</v>
      </c>
      <c r="K635" s="26" t="s">
        <v>2972</v>
      </c>
      <c r="L635" s="39" t="s">
        <v>22</v>
      </c>
      <c r="M635" s="8">
        <f>COUNTIF($B$1:$B$1191, B635)</f>
        <v>5</v>
      </c>
      <c r="N635" s="8">
        <f>COUNTIF($H$2:$H$1181, H635)</f>
        <v>62</v>
      </c>
    </row>
    <row r="636" spans="1:14">
      <c r="A636" s="29" t="s">
        <v>2973</v>
      </c>
      <c r="B636" s="30" t="s">
        <v>2974</v>
      </c>
      <c r="C636" s="30" t="s">
        <v>2975</v>
      </c>
      <c r="D636" s="31">
        <v>245.73</v>
      </c>
      <c r="E636" s="31">
        <v>245.73</v>
      </c>
      <c r="F636" s="30">
        <v>1</v>
      </c>
      <c r="G636" s="34">
        <f>E636/F636</f>
        <v>245.73</v>
      </c>
      <c r="H636" s="36" t="s">
        <v>2786</v>
      </c>
      <c r="I636" s="30" t="s">
        <v>2976</v>
      </c>
      <c r="J636" s="30" t="s">
        <v>2977</v>
      </c>
      <c r="K636" s="30" t="s">
        <v>2978</v>
      </c>
      <c r="L636" s="38" t="s">
        <v>22</v>
      </c>
      <c r="M636" s="8">
        <f>COUNTIF($B$1:$B$1191, B636)</f>
        <v>1</v>
      </c>
      <c r="N636" s="8">
        <f>COUNTIF($H$2:$H$1181, H636)</f>
        <v>62</v>
      </c>
    </row>
    <row r="637" spans="1:14">
      <c r="A637" s="32" t="s">
        <v>2979</v>
      </c>
      <c r="B637" s="26" t="s">
        <v>937</v>
      </c>
      <c r="C637" s="26" t="s">
        <v>938</v>
      </c>
      <c r="D637" s="33">
        <v>136.52000000000001</v>
      </c>
      <c r="E637" s="33">
        <v>136.52000000000001</v>
      </c>
      <c r="F637" s="26">
        <v>1</v>
      </c>
      <c r="G637" s="35">
        <f>E637/F637</f>
        <v>136.52000000000001</v>
      </c>
      <c r="H637" s="37" t="s">
        <v>2786</v>
      </c>
      <c r="I637" s="26" t="s">
        <v>2980</v>
      </c>
      <c r="J637" s="26" t="s">
        <v>2981</v>
      </c>
      <c r="K637" s="26" t="s">
        <v>2982</v>
      </c>
      <c r="L637" s="39" t="s">
        <v>22</v>
      </c>
      <c r="M637" s="8">
        <f>COUNTIF($B$1:$B$1191, B637)</f>
        <v>6</v>
      </c>
      <c r="N637" s="8">
        <f>COUNTIF($H$2:$H$1181, H637)</f>
        <v>62</v>
      </c>
    </row>
    <row r="638" spans="1:14">
      <c r="A638" s="29" t="s">
        <v>2983</v>
      </c>
      <c r="B638" s="30" t="s">
        <v>1053</v>
      </c>
      <c r="C638" s="30" t="s">
        <v>506</v>
      </c>
      <c r="D638" s="31">
        <v>136.52000000000001</v>
      </c>
      <c r="E638" s="31">
        <v>136.52000000000001</v>
      </c>
      <c r="F638" s="30">
        <v>1</v>
      </c>
      <c r="G638" s="34">
        <f>E638/F638</f>
        <v>136.52000000000001</v>
      </c>
      <c r="H638" s="36" t="s">
        <v>2786</v>
      </c>
      <c r="I638" s="30" t="s">
        <v>2984</v>
      </c>
      <c r="J638" s="30" t="s">
        <v>2985</v>
      </c>
      <c r="K638" s="30" t="s">
        <v>2986</v>
      </c>
      <c r="L638" s="38" t="s">
        <v>22</v>
      </c>
      <c r="M638" s="8">
        <f>COUNTIF($B$1:$B$1191, B638)</f>
        <v>20</v>
      </c>
      <c r="N638" s="8">
        <f>COUNTIF($H$2:$H$1181, H638)</f>
        <v>62</v>
      </c>
    </row>
    <row r="639" spans="1:14">
      <c r="A639" s="32" t="s">
        <v>2987</v>
      </c>
      <c r="B639" s="26" t="s">
        <v>222</v>
      </c>
      <c r="C639" s="26" t="s">
        <v>223</v>
      </c>
      <c r="D639" s="33">
        <v>131.06</v>
      </c>
      <c r="E639" s="33">
        <v>131.06</v>
      </c>
      <c r="F639" s="26">
        <v>1</v>
      </c>
      <c r="G639" s="35">
        <f>E639/F639</f>
        <v>131.06</v>
      </c>
      <c r="H639" s="37" t="s">
        <v>2786</v>
      </c>
      <c r="I639" s="26" t="s">
        <v>2988</v>
      </c>
      <c r="J639" s="26" t="s">
        <v>2989</v>
      </c>
      <c r="K639" s="26" t="s">
        <v>2990</v>
      </c>
      <c r="L639" s="39" t="s">
        <v>22</v>
      </c>
      <c r="M639" s="8">
        <f>COUNTIF($B$1:$B$1191, B639)</f>
        <v>11</v>
      </c>
      <c r="N639" s="8">
        <f>COUNTIF($H$2:$H$1181, H639)</f>
        <v>62</v>
      </c>
    </row>
    <row r="640" spans="1:14">
      <c r="A640" s="29" t="s">
        <v>2991</v>
      </c>
      <c r="B640" s="30" t="s">
        <v>2992</v>
      </c>
      <c r="C640" s="30" t="s">
        <v>2992</v>
      </c>
      <c r="D640" s="31">
        <v>109.21</v>
      </c>
      <c r="E640" s="31">
        <v>109.21</v>
      </c>
      <c r="F640" s="30">
        <v>1</v>
      </c>
      <c r="G640" s="34">
        <f>E640/F640</f>
        <v>109.21</v>
      </c>
      <c r="H640" s="36" t="s">
        <v>2786</v>
      </c>
      <c r="I640" s="30" t="s">
        <v>2993</v>
      </c>
      <c r="J640" s="30" t="s">
        <v>2994</v>
      </c>
      <c r="K640" s="30" t="s">
        <v>2995</v>
      </c>
      <c r="L640" s="38" t="s">
        <v>22</v>
      </c>
      <c r="M640" s="8">
        <f>COUNTIF($B$1:$B$1191, B640)</f>
        <v>2</v>
      </c>
      <c r="N640" s="8">
        <f>COUNTIF($H$2:$H$1181, H640)</f>
        <v>62</v>
      </c>
    </row>
    <row r="641" spans="1:14">
      <c r="A641" s="32" t="s">
        <v>2996</v>
      </c>
      <c r="B641" s="26" t="s">
        <v>2197</v>
      </c>
      <c r="C641" s="26" t="s">
        <v>2197</v>
      </c>
      <c r="D641" s="33">
        <v>98.29</v>
      </c>
      <c r="E641" s="33">
        <v>98.29</v>
      </c>
      <c r="F641" s="26">
        <v>1</v>
      </c>
      <c r="G641" s="35">
        <f>E641/F641</f>
        <v>98.29</v>
      </c>
      <c r="H641" s="37" t="s">
        <v>2786</v>
      </c>
      <c r="I641" s="26" t="s">
        <v>2997</v>
      </c>
      <c r="J641" s="26" t="s">
        <v>2998</v>
      </c>
      <c r="K641" s="26" t="s">
        <v>2999</v>
      </c>
      <c r="L641" s="39" t="s">
        <v>22</v>
      </c>
      <c r="M641" s="8">
        <f>COUNTIF($B$1:$B$1191, B641)</f>
        <v>2</v>
      </c>
      <c r="N641" s="8">
        <f>COUNTIF($H$2:$H$1181, H641)</f>
        <v>62</v>
      </c>
    </row>
    <row r="642" spans="1:14">
      <c r="A642" s="29" t="s">
        <v>3000</v>
      </c>
      <c r="B642" s="30" t="s">
        <v>2159</v>
      </c>
      <c r="C642" s="30" t="s">
        <v>2160</v>
      </c>
      <c r="D642" s="31">
        <v>98.29</v>
      </c>
      <c r="E642" s="31">
        <v>98.29</v>
      </c>
      <c r="F642" s="30">
        <v>1</v>
      </c>
      <c r="G642" s="34">
        <f>E642/F642</f>
        <v>98.29</v>
      </c>
      <c r="H642" s="36" t="s">
        <v>2786</v>
      </c>
      <c r="I642" s="30" t="s">
        <v>3001</v>
      </c>
      <c r="J642" s="30" t="s">
        <v>3002</v>
      </c>
      <c r="K642" s="30" t="s">
        <v>3003</v>
      </c>
      <c r="L642" s="38" t="s">
        <v>22</v>
      </c>
      <c r="M642" s="8">
        <f>COUNTIF($B$1:$B$1191, B642)</f>
        <v>4</v>
      </c>
      <c r="N642" s="8">
        <f>COUNTIF($H$2:$H$1181, H642)</f>
        <v>62</v>
      </c>
    </row>
    <row r="643" spans="1:14">
      <c r="A643" s="32" t="s">
        <v>3004</v>
      </c>
      <c r="B643" s="26" t="s">
        <v>2159</v>
      </c>
      <c r="C643" s="26" t="s">
        <v>2160</v>
      </c>
      <c r="D643" s="33">
        <v>92.83</v>
      </c>
      <c r="E643" s="33">
        <v>92.83</v>
      </c>
      <c r="F643" s="26">
        <v>1</v>
      </c>
      <c r="G643" s="35">
        <f>E643/F643</f>
        <v>92.83</v>
      </c>
      <c r="H643" s="37" t="s">
        <v>2786</v>
      </c>
      <c r="I643" s="26" t="s">
        <v>3005</v>
      </c>
      <c r="J643" s="26" t="s">
        <v>3006</v>
      </c>
      <c r="K643" s="26" t="s">
        <v>3007</v>
      </c>
      <c r="L643" s="39" t="s">
        <v>22</v>
      </c>
      <c r="M643" s="8">
        <f>COUNTIF($B$1:$B$1191, B643)</f>
        <v>4</v>
      </c>
      <c r="N643" s="8">
        <f>COUNTIF($H$2:$H$1181, H643)</f>
        <v>62</v>
      </c>
    </row>
    <row r="644" spans="1:14">
      <c r="A644" s="29" t="s">
        <v>3008</v>
      </c>
      <c r="B644" s="30" t="s">
        <v>384</v>
      </c>
      <c r="C644" s="30" t="s">
        <v>385</v>
      </c>
      <c r="D644" s="31">
        <v>92.29</v>
      </c>
      <c r="E644" s="31">
        <v>92.29</v>
      </c>
      <c r="F644" s="30">
        <v>1</v>
      </c>
      <c r="G644" s="34">
        <f>E644/F644</f>
        <v>92.29</v>
      </c>
      <c r="H644" s="36" t="s">
        <v>2786</v>
      </c>
      <c r="I644" s="30" t="s">
        <v>3009</v>
      </c>
      <c r="J644" s="30" t="s">
        <v>3010</v>
      </c>
      <c r="K644" s="30" t="s">
        <v>3011</v>
      </c>
      <c r="L644" s="38" t="s">
        <v>22</v>
      </c>
      <c r="M644" s="8">
        <f>COUNTIF($B$1:$B$1191, B644)</f>
        <v>9</v>
      </c>
      <c r="N644" s="8">
        <f>COUNTIF($H$2:$H$1181, H644)</f>
        <v>62</v>
      </c>
    </row>
    <row r="645" spans="1:14">
      <c r="A645" s="32" t="s">
        <v>3012</v>
      </c>
      <c r="B645" s="26" t="s">
        <v>578</v>
      </c>
      <c r="C645" s="26" t="s">
        <v>579</v>
      </c>
      <c r="D645" s="33">
        <v>81.91</v>
      </c>
      <c r="E645" s="33">
        <v>81.91</v>
      </c>
      <c r="F645" s="26">
        <v>1</v>
      </c>
      <c r="G645" s="35">
        <f>E645/F645</f>
        <v>81.91</v>
      </c>
      <c r="H645" s="37" t="s">
        <v>2786</v>
      </c>
      <c r="I645" s="26" t="s">
        <v>3013</v>
      </c>
      <c r="J645" s="26" t="s">
        <v>3014</v>
      </c>
      <c r="K645" s="26" t="s">
        <v>3015</v>
      </c>
      <c r="L645" s="39" t="s">
        <v>22</v>
      </c>
      <c r="M645" s="8">
        <f>COUNTIF($B$1:$B$1191, B645)</f>
        <v>8</v>
      </c>
      <c r="N645" s="8">
        <f>COUNTIF($H$2:$H$1181, H645)</f>
        <v>62</v>
      </c>
    </row>
    <row r="646" spans="1:14">
      <c r="A646" s="29" t="s">
        <v>3016</v>
      </c>
      <c r="B646" s="30" t="s">
        <v>465</v>
      </c>
      <c r="C646" s="30" t="s">
        <v>466</v>
      </c>
      <c r="D646" s="31">
        <v>81.91</v>
      </c>
      <c r="E646" s="31">
        <v>81.91</v>
      </c>
      <c r="F646" s="30">
        <v>1</v>
      </c>
      <c r="G646" s="34">
        <f>E646/F646</f>
        <v>81.91</v>
      </c>
      <c r="H646" s="36" t="s">
        <v>2786</v>
      </c>
      <c r="I646" s="30" t="s">
        <v>3017</v>
      </c>
      <c r="J646" s="30" t="s">
        <v>3018</v>
      </c>
      <c r="K646" s="30" t="s">
        <v>3019</v>
      </c>
      <c r="L646" s="38" t="s">
        <v>22</v>
      </c>
      <c r="M646" s="8">
        <f>COUNTIF($B$1:$B$1191, B646)</f>
        <v>8</v>
      </c>
      <c r="N646" s="8">
        <f>COUNTIF($H$2:$H$1181, H646)</f>
        <v>62</v>
      </c>
    </row>
    <row r="647" spans="1:14">
      <c r="A647" s="32" t="s">
        <v>3020</v>
      </c>
      <c r="B647" s="26" t="s">
        <v>432</v>
      </c>
      <c r="C647" s="26" t="s">
        <v>433</v>
      </c>
      <c r="D647" s="33">
        <v>81.91</v>
      </c>
      <c r="E647" s="33">
        <v>81.91</v>
      </c>
      <c r="F647" s="26">
        <v>1</v>
      </c>
      <c r="G647" s="35">
        <f>E647/F647</f>
        <v>81.91</v>
      </c>
      <c r="H647" s="37" t="s">
        <v>2786</v>
      </c>
      <c r="I647" s="26" t="s">
        <v>3021</v>
      </c>
      <c r="J647" s="26" t="s">
        <v>3022</v>
      </c>
      <c r="K647" s="26" t="s">
        <v>3023</v>
      </c>
      <c r="L647" s="39" t="s">
        <v>22</v>
      </c>
      <c r="M647" s="8">
        <f>COUNTIF($B$1:$B$1191, B647)</f>
        <v>10</v>
      </c>
      <c r="N647" s="8">
        <f>COUNTIF($H$2:$H$1181, H647)</f>
        <v>62</v>
      </c>
    </row>
    <row r="648" spans="1:14">
      <c r="A648" s="29" t="s">
        <v>3024</v>
      </c>
      <c r="B648" s="30" t="s">
        <v>186</v>
      </c>
      <c r="C648" s="30" t="s">
        <v>187</v>
      </c>
      <c r="D648" s="31">
        <v>65.53</v>
      </c>
      <c r="E648" s="31">
        <v>65.53</v>
      </c>
      <c r="F648" s="30">
        <v>1</v>
      </c>
      <c r="G648" s="34">
        <f>E648/F648</f>
        <v>65.53</v>
      </c>
      <c r="H648" s="36" t="s">
        <v>2786</v>
      </c>
      <c r="I648" s="30" t="s">
        <v>3025</v>
      </c>
      <c r="J648" s="30" t="s">
        <v>3026</v>
      </c>
      <c r="K648" s="30" t="s">
        <v>3027</v>
      </c>
      <c r="L648" s="38" t="s">
        <v>22</v>
      </c>
      <c r="M648" s="8">
        <f>COUNTIF($B$1:$B$1191, B648)</f>
        <v>5</v>
      </c>
      <c r="N648" s="8">
        <f>COUNTIF($H$2:$H$1181, H648)</f>
        <v>62</v>
      </c>
    </row>
    <row r="649" spans="1:14">
      <c r="A649" s="32" t="s">
        <v>3028</v>
      </c>
      <c r="B649" s="26" t="s">
        <v>2992</v>
      </c>
      <c r="C649" s="26" t="s">
        <v>2992</v>
      </c>
      <c r="D649" s="33">
        <v>109.21</v>
      </c>
      <c r="E649" s="33">
        <v>109.21</v>
      </c>
      <c r="F649" s="26">
        <v>1</v>
      </c>
      <c r="G649" s="35">
        <f>E649/F649</f>
        <v>109.21</v>
      </c>
      <c r="H649" s="37" t="s">
        <v>2786</v>
      </c>
      <c r="I649" s="26" t="s">
        <v>3029</v>
      </c>
      <c r="J649" s="26" t="s">
        <v>3030</v>
      </c>
      <c r="K649" s="26" t="s">
        <v>3031</v>
      </c>
      <c r="L649" s="39" t="s">
        <v>22</v>
      </c>
      <c r="M649" s="8">
        <f>COUNTIF($B$1:$B$1191, B649)</f>
        <v>2</v>
      </c>
      <c r="N649" s="8">
        <f>COUNTIF($H$2:$H$1181, H649)</f>
        <v>62</v>
      </c>
    </row>
    <row r="650" spans="1:14">
      <c r="A650" s="58" t="s">
        <v>3032</v>
      </c>
      <c r="B650" s="59" t="s">
        <v>3033</v>
      </c>
      <c r="C650" s="59" t="s">
        <v>3034</v>
      </c>
      <c r="D650" s="60">
        <v>103.75</v>
      </c>
      <c r="E650" s="60">
        <v>103.75</v>
      </c>
      <c r="F650" s="59">
        <v>1</v>
      </c>
      <c r="G650" s="61">
        <f>E650/F650</f>
        <v>103.75</v>
      </c>
      <c r="H650" s="62" t="s">
        <v>2786</v>
      </c>
      <c r="I650" s="59" t="s">
        <v>3035</v>
      </c>
      <c r="J650" s="59" t="s">
        <v>3036</v>
      </c>
      <c r="K650" s="59" t="s">
        <v>3037</v>
      </c>
      <c r="L650" s="63" t="s">
        <v>22</v>
      </c>
      <c r="M650" s="8">
        <f>COUNTIF($B$1:$B$1191, B650)</f>
        <v>1</v>
      </c>
      <c r="N650" s="8">
        <f>COUNTIF($H$2:$H$1181, H650)</f>
        <v>62</v>
      </c>
    </row>
    <row r="651" spans="1:14">
      <c r="A651" s="29" t="s">
        <v>3038</v>
      </c>
      <c r="B651" s="30" t="s">
        <v>3039</v>
      </c>
      <c r="C651" s="30" t="s">
        <v>3040</v>
      </c>
      <c r="D651" s="31">
        <v>87.39</v>
      </c>
      <c r="E651" s="31">
        <v>87.39</v>
      </c>
      <c r="F651" s="30">
        <v>1</v>
      </c>
      <c r="G651" s="34">
        <f>E651/F651</f>
        <v>87.39</v>
      </c>
      <c r="H651" s="36" t="s">
        <v>2786</v>
      </c>
      <c r="I651" s="30" t="s">
        <v>3041</v>
      </c>
      <c r="J651" s="30" t="s">
        <v>3042</v>
      </c>
      <c r="K651" s="30" t="s">
        <v>3043</v>
      </c>
      <c r="L651" s="38" t="s">
        <v>22</v>
      </c>
      <c r="M651" s="8">
        <f>COUNTIF($B$1:$B$1191, B651)</f>
        <v>1</v>
      </c>
      <c r="N651" s="8">
        <f>COUNTIF($H$2:$H$1181, H651)</f>
        <v>62</v>
      </c>
    </row>
    <row r="652" spans="1:14">
      <c r="A652" s="32" t="s">
        <v>3044</v>
      </c>
      <c r="B652" s="26" t="s">
        <v>937</v>
      </c>
      <c r="C652" s="26" t="s">
        <v>938</v>
      </c>
      <c r="D652" s="33">
        <v>136.54</v>
      </c>
      <c r="E652" s="33">
        <v>136.54</v>
      </c>
      <c r="F652" s="26">
        <v>1</v>
      </c>
      <c r="G652" s="35">
        <f>E652/F652</f>
        <v>136.54</v>
      </c>
      <c r="H652" s="37" t="s">
        <v>2786</v>
      </c>
      <c r="I652" s="26" t="s">
        <v>3045</v>
      </c>
      <c r="J652" s="26" t="s">
        <v>3046</v>
      </c>
      <c r="K652" s="26" t="s">
        <v>3047</v>
      </c>
      <c r="L652" s="39" t="s">
        <v>22</v>
      </c>
      <c r="M652" s="8">
        <f>COUNTIF($B$1:$B$1191, B652)</f>
        <v>6</v>
      </c>
      <c r="N652" s="8">
        <f>COUNTIF($H$2:$H$1181, H652)</f>
        <v>62</v>
      </c>
    </row>
    <row r="653" spans="1:14">
      <c r="A653" s="29" t="s">
        <v>3048</v>
      </c>
      <c r="B653" s="30" t="s">
        <v>3049</v>
      </c>
      <c r="C653" s="30" t="s">
        <v>3050</v>
      </c>
      <c r="D653" s="31">
        <v>103.77</v>
      </c>
      <c r="E653" s="31">
        <v>103.77</v>
      </c>
      <c r="F653" s="30">
        <v>1</v>
      </c>
      <c r="G653" s="34">
        <f>E653/F653</f>
        <v>103.77</v>
      </c>
      <c r="H653" s="36" t="s">
        <v>2786</v>
      </c>
      <c r="I653" s="30" t="s">
        <v>3051</v>
      </c>
      <c r="J653" s="30" t="s">
        <v>3052</v>
      </c>
      <c r="K653" s="30" t="s">
        <v>3053</v>
      </c>
      <c r="L653" s="38" t="s">
        <v>22</v>
      </c>
      <c r="M653" s="8">
        <f>COUNTIF($B$1:$B$1191, B653)</f>
        <v>2</v>
      </c>
      <c r="N653" s="8">
        <f>COUNTIF($H$2:$H$1181, H653)</f>
        <v>62</v>
      </c>
    </row>
    <row r="654" spans="1:14">
      <c r="A654" s="32" t="s">
        <v>3054</v>
      </c>
      <c r="B654" s="26" t="s">
        <v>3049</v>
      </c>
      <c r="C654" s="26" t="s">
        <v>3050</v>
      </c>
      <c r="D654" s="33">
        <v>92.85</v>
      </c>
      <c r="E654" s="33">
        <v>92.85</v>
      </c>
      <c r="F654" s="26">
        <v>1</v>
      </c>
      <c r="G654" s="35">
        <f>E654/F654</f>
        <v>92.85</v>
      </c>
      <c r="H654" s="37" t="s">
        <v>2786</v>
      </c>
      <c r="I654" s="26" t="s">
        <v>3055</v>
      </c>
      <c r="J654" s="26" t="s">
        <v>3056</v>
      </c>
      <c r="K654" s="26" t="s">
        <v>3057</v>
      </c>
      <c r="L654" s="39" t="s">
        <v>22</v>
      </c>
      <c r="M654" s="8">
        <f>COUNTIF($B$1:$B$1191, B654)</f>
        <v>2</v>
      </c>
      <c r="N654" s="8">
        <f>COUNTIF($H$2:$H$1181, H654)</f>
        <v>62</v>
      </c>
    </row>
    <row r="655" spans="1:14">
      <c r="A655" s="29" t="s">
        <v>3058</v>
      </c>
      <c r="B655" s="30" t="s">
        <v>3059</v>
      </c>
      <c r="C655" s="30" t="s">
        <v>3060</v>
      </c>
      <c r="D655" s="31">
        <v>81.92</v>
      </c>
      <c r="E655" s="31">
        <v>81.92</v>
      </c>
      <c r="F655" s="30">
        <v>1</v>
      </c>
      <c r="G655" s="34">
        <f>E655/F655</f>
        <v>81.92</v>
      </c>
      <c r="H655" s="36" t="s">
        <v>2786</v>
      </c>
      <c r="I655" s="30" t="s">
        <v>3061</v>
      </c>
      <c r="J655" s="30" t="s">
        <v>3062</v>
      </c>
      <c r="K655" s="30" t="s">
        <v>3063</v>
      </c>
      <c r="L655" s="38" t="s">
        <v>22</v>
      </c>
      <c r="M655" s="8">
        <f>COUNTIF($B$1:$B$1191, B655)</f>
        <v>1</v>
      </c>
      <c r="N655" s="8">
        <f>COUNTIF($H$2:$H$1181, H655)</f>
        <v>62</v>
      </c>
    </row>
    <row r="656" spans="1:14">
      <c r="A656" s="32" t="s">
        <v>3064</v>
      </c>
      <c r="B656" s="26" t="s">
        <v>283</v>
      </c>
      <c r="C656" s="26" t="s">
        <v>3065</v>
      </c>
      <c r="D656" s="33">
        <v>92.85</v>
      </c>
      <c r="E656" s="33">
        <v>92.85</v>
      </c>
      <c r="F656" s="26">
        <v>1</v>
      </c>
      <c r="G656" s="35">
        <f>E656/F656</f>
        <v>92.85</v>
      </c>
      <c r="H656" s="37" t="s">
        <v>3066</v>
      </c>
      <c r="I656" s="26" t="s">
        <v>3067</v>
      </c>
      <c r="J656" s="26" t="s">
        <v>3068</v>
      </c>
      <c r="K656" s="26" t="s">
        <v>3069</v>
      </c>
      <c r="L656" s="39" t="s">
        <v>22</v>
      </c>
      <c r="M656" s="8">
        <f>COUNTIF($B$1:$B$1191, B656)</f>
        <v>2</v>
      </c>
      <c r="N656" s="8">
        <f>COUNTIF($H$2:$H$1181, H656)</f>
        <v>91</v>
      </c>
    </row>
    <row r="657" spans="1:14">
      <c r="A657" s="29" t="s">
        <v>3070</v>
      </c>
      <c r="B657" s="30" t="s">
        <v>379</v>
      </c>
      <c r="C657" s="30" t="s">
        <v>379</v>
      </c>
      <c r="D657" s="31">
        <v>114.69</v>
      </c>
      <c r="E657" s="31">
        <v>114.69</v>
      </c>
      <c r="F657" s="30">
        <v>1</v>
      </c>
      <c r="G657" s="34">
        <f>E657/F657</f>
        <v>114.69</v>
      </c>
      <c r="H657" s="36" t="s">
        <v>3066</v>
      </c>
      <c r="I657" s="30" t="s">
        <v>3071</v>
      </c>
      <c r="J657" s="30" t="s">
        <v>3072</v>
      </c>
      <c r="K657" s="30" t="s">
        <v>3073</v>
      </c>
      <c r="L657" s="38" t="s">
        <v>22</v>
      </c>
      <c r="M657" s="8">
        <f>COUNTIF($B$1:$B$1191, B657)</f>
        <v>19</v>
      </c>
      <c r="N657" s="8">
        <f>COUNTIF($H$2:$H$1181, H657)</f>
        <v>91</v>
      </c>
    </row>
    <row r="658" spans="1:14">
      <c r="A658" s="32" t="s">
        <v>3074</v>
      </c>
      <c r="B658" s="26" t="s">
        <v>3075</v>
      </c>
      <c r="C658" s="26" t="s">
        <v>3076</v>
      </c>
      <c r="D658" s="33">
        <v>103.77</v>
      </c>
      <c r="E658" s="33">
        <v>103.77</v>
      </c>
      <c r="F658" s="26">
        <v>1</v>
      </c>
      <c r="G658" s="35">
        <f>E658/F658</f>
        <v>103.77</v>
      </c>
      <c r="H658" s="37" t="s">
        <v>3066</v>
      </c>
      <c r="I658" s="26" t="s">
        <v>3077</v>
      </c>
      <c r="J658" s="26" t="s">
        <v>3078</v>
      </c>
      <c r="K658" s="26" t="s">
        <v>3079</v>
      </c>
      <c r="L658" s="39" t="s">
        <v>22</v>
      </c>
      <c r="M658" s="8">
        <f>COUNTIF($B$1:$B$1191, B658)</f>
        <v>2</v>
      </c>
      <c r="N658" s="8">
        <f>COUNTIF($H$2:$H$1181, H658)</f>
        <v>91</v>
      </c>
    </row>
    <row r="659" spans="1:14">
      <c r="A659" s="29" t="s">
        <v>3080</v>
      </c>
      <c r="B659" s="30" t="s">
        <v>2159</v>
      </c>
      <c r="C659" s="30" t="s">
        <v>2160</v>
      </c>
      <c r="D659" s="31">
        <v>87.39</v>
      </c>
      <c r="E659" s="31">
        <v>87.39</v>
      </c>
      <c r="F659" s="30">
        <v>1</v>
      </c>
      <c r="G659" s="34">
        <f>E659/F659</f>
        <v>87.39</v>
      </c>
      <c r="H659" s="36" t="s">
        <v>3066</v>
      </c>
      <c r="I659" s="30" t="s">
        <v>3081</v>
      </c>
      <c r="J659" s="30" t="s">
        <v>3082</v>
      </c>
      <c r="K659" s="30" t="s">
        <v>3083</v>
      </c>
      <c r="L659" s="38" t="s">
        <v>22</v>
      </c>
      <c r="M659" s="8">
        <f>COUNTIF($B$1:$B$1191, B659)</f>
        <v>4</v>
      </c>
      <c r="N659" s="8">
        <f>COUNTIF($H$2:$H$1181, H659)</f>
        <v>91</v>
      </c>
    </row>
    <row r="660" spans="1:14">
      <c r="A660" s="32" t="s">
        <v>3084</v>
      </c>
      <c r="B660" s="26" t="s">
        <v>1854</v>
      </c>
      <c r="C660" s="26" t="s">
        <v>1855</v>
      </c>
      <c r="D660" s="33">
        <v>81.92</v>
      </c>
      <c r="E660" s="33">
        <v>81.92</v>
      </c>
      <c r="F660" s="26">
        <v>1</v>
      </c>
      <c r="G660" s="35">
        <f>E660/F660</f>
        <v>81.92</v>
      </c>
      <c r="H660" s="37" t="s">
        <v>3066</v>
      </c>
      <c r="I660" s="26" t="s">
        <v>3085</v>
      </c>
      <c r="J660" s="26" t="s">
        <v>3086</v>
      </c>
      <c r="K660" s="26" t="s">
        <v>1858</v>
      </c>
      <c r="L660" s="39" t="s">
        <v>153</v>
      </c>
      <c r="M660" s="8">
        <f>COUNTIF($B$1:$B$1191, B660)</f>
        <v>2</v>
      </c>
      <c r="N660" s="8">
        <f>COUNTIF($H$2:$H$1181, H660)</f>
        <v>91</v>
      </c>
    </row>
    <row r="661" spans="1:14">
      <c r="A661" s="29" t="s">
        <v>3087</v>
      </c>
      <c r="B661" s="30" t="s">
        <v>554</v>
      </c>
      <c r="C661" s="30" t="s">
        <v>555</v>
      </c>
      <c r="D661" s="31">
        <v>103.77</v>
      </c>
      <c r="E661" s="31">
        <v>103.77</v>
      </c>
      <c r="F661" s="30">
        <v>1</v>
      </c>
      <c r="G661" s="34">
        <f>E661/F661</f>
        <v>103.77</v>
      </c>
      <c r="H661" s="36" t="s">
        <v>3066</v>
      </c>
      <c r="I661" s="30" t="s">
        <v>3088</v>
      </c>
      <c r="J661" s="30" t="s">
        <v>3089</v>
      </c>
      <c r="K661" s="30" t="s">
        <v>3090</v>
      </c>
      <c r="L661" s="38" t="s">
        <v>22</v>
      </c>
      <c r="M661" s="8">
        <f>COUNTIF($B$1:$B$1191, B661)</f>
        <v>3</v>
      </c>
      <c r="N661" s="8">
        <f>COUNTIF($H$2:$H$1181, H661)</f>
        <v>91</v>
      </c>
    </row>
    <row r="662" spans="1:14">
      <c r="A662" s="32" t="s">
        <v>3091</v>
      </c>
      <c r="B662" s="26" t="s">
        <v>753</v>
      </c>
      <c r="C662" s="26" t="s">
        <v>754</v>
      </c>
      <c r="D662" s="33">
        <v>65.540000000000006</v>
      </c>
      <c r="E662" s="33">
        <v>65.540000000000006</v>
      </c>
      <c r="F662" s="26">
        <v>1</v>
      </c>
      <c r="G662" s="35">
        <f>E662/F662</f>
        <v>65.540000000000006</v>
      </c>
      <c r="H662" s="37" t="s">
        <v>3066</v>
      </c>
      <c r="I662" s="26" t="s">
        <v>3092</v>
      </c>
      <c r="J662" s="26" t="s">
        <v>3093</v>
      </c>
      <c r="K662" s="26" t="s">
        <v>3094</v>
      </c>
      <c r="L662" s="39" t="s">
        <v>22</v>
      </c>
      <c r="M662" s="8">
        <f>COUNTIF($B$1:$B$1191, B662)</f>
        <v>24</v>
      </c>
      <c r="N662" s="8">
        <f>COUNTIF($H$2:$H$1181, H662)</f>
        <v>91</v>
      </c>
    </row>
    <row r="663" spans="1:14">
      <c r="A663" s="29" t="s">
        <v>3095</v>
      </c>
      <c r="B663" s="30" t="s">
        <v>517</v>
      </c>
      <c r="C663" s="30" t="s">
        <v>518</v>
      </c>
      <c r="D663" s="31">
        <v>103.77</v>
      </c>
      <c r="E663" s="31">
        <v>103.77</v>
      </c>
      <c r="F663" s="30">
        <v>1</v>
      </c>
      <c r="G663" s="34">
        <f>E663/F663</f>
        <v>103.77</v>
      </c>
      <c r="H663" s="36" t="s">
        <v>3066</v>
      </c>
      <c r="I663" s="30" t="s">
        <v>3096</v>
      </c>
      <c r="J663" s="30" t="s">
        <v>3097</v>
      </c>
      <c r="K663" s="30" t="s">
        <v>3098</v>
      </c>
      <c r="L663" s="38" t="s">
        <v>22</v>
      </c>
      <c r="M663" s="8">
        <f>COUNTIF($B$1:$B$1191, B663)</f>
        <v>12</v>
      </c>
      <c r="N663" s="8">
        <f>COUNTIF($H$2:$H$1181, H663)</f>
        <v>91</v>
      </c>
    </row>
    <row r="664" spans="1:14">
      <c r="A664" s="32" t="s">
        <v>3099</v>
      </c>
      <c r="B664" s="26" t="s">
        <v>2856</v>
      </c>
      <c r="C664" s="26" t="s">
        <v>2857</v>
      </c>
      <c r="D664" s="33">
        <v>65.540000000000006</v>
      </c>
      <c r="E664" s="33">
        <v>65.540000000000006</v>
      </c>
      <c r="F664" s="26">
        <v>1</v>
      </c>
      <c r="G664" s="35">
        <f>E664/F664</f>
        <v>65.540000000000006</v>
      </c>
      <c r="H664" s="37" t="s">
        <v>3066</v>
      </c>
      <c r="I664" s="26" t="s">
        <v>3100</v>
      </c>
      <c r="J664" s="26" t="s">
        <v>3101</v>
      </c>
      <c r="K664" s="26" t="s">
        <v>3102</v>
      </c>
      <c r="L664" s="39" t="s">
        <v>22</v>
      </c>
      <c r="M664" s="8">
        <f>COUNTIF($B$1:$B$1191, B664)</f>
        <v>3</v>
      </c>
      <c r="N664" s="8">
        <f>COUNTIF($H$2:$H$1181, H664)</f>
        <v>91</v>
      </c>
    </row>
    <row r="665" spans="1:14">
      <c r="A665" s="29" t="s">
        <v>3103</v>
      </c>
      <c r="B665" s="30" t="s">
        <v>1053</v>
      </c>
      <c r="C665" s="30" t="s">
        <v>506</v>
      </c>
      <c r="D665" s="31">
        <v>136.54</v>
      </c>
      <c r="E665" s="31">
        <v>136.54</v>
      </c>
      <c r="F665" s="30">
        <v>1</v>
      </c>
      <c r="G665" s="34">
        <f>E665/F665</f>
        <v>136.54</v>
      </c>
      <c r="H665" s="36" t="s">
        <v>3066</v>
      </c>
      <c r="I665" s="30" t="s">
        <v>3104</v>
      </c>
      <c r="J665" s="30" t="s">
        <v>3105</v>
      </c>
      <c r="K665" s="30" t="s">
        <v>3106</v>
      </c>
      <c r="L665" s="38" t="s">
        <v>22</v>
      </c>
      <c r="M665" s="8">
        <f>COUNTIF($B$1:$B$1191, B665)</f>
        <v>20</v>
      </c>
      <c r="N665" s="8">
        <f>COUNTIF($H$2:$H$1181, H665)</f>
        <v>91</v>
      </c>
    </row>
    <row r="666" spans="1:14">
      <c r="A666" s="32" t="s">
        <v>3107</v>
      </c>
      <c r="B666" s="26" t="s">
        <v>1178</v>
      </c>
      <c r="C666" s="26" t="s">
        <v>1179</v>
      </c>
      <c r="D666" s="33">
        <v>103.77</v>
      </c>
      <c r="E666" s="33">
        <v>103.77</v>
      </c>
      <c r="F666" s="26">
        <v>1</v>
      </c>
      <c r="G666" s="35">
        <f>E666/F666</f>
        <v>103.77</v>
      </c>
      <c r="H666" s="37" t="s">
        <v>3066</v>
      </c>
      <c r="I666" s="26" t="s">
        <v>3108</v>
      </c>
      <c r="J666" s="26" t="s">
        <v>3109</v>
      </c>
      <c r="K666" s="26" t="s">
        <v>3110</v>
      </c>
      <c r="L666" s="39" t="s">
        <v>22</v>
      </c>
      <c r="M666" s="8">
        <f>COUNTIF($B$1:$B$1191, B666)</f>
        <v>4</v>
      </c>
      <c r="N666" s="8">
        <f>COUNTIF($H$2:$H$1181, H666)</f>
        <v>91</v>
      </c>
    </row>
    <row r="667" spans="1:14">
      <c r="A667" s="29" t="s">
        <v>3111</v>
      </c>
      <c r="B667" s="30" t="s">
        <v>498</v>
      </c>
      <c r="C667" s="30" t="s">
        <v>499</v>
      </c>
      <c r="D667" s="31">
        <v>92.85</v>
      </c>
      <c r="E667" s="31">
        <v>92.85</v>
      </c>
      <c r="F667" s="30">
        <v>1</v>
      </c>
      <c r="G667" s="34">
        <f>E667/F667</f>
        <v>92.85</v>
      </c>
      <c r="H667" s="36" t="s">
        <v>3066</v>
      </c>
      <c r="I667" s="30" t="s">
        <v>3112</v>
      </c>
      <c r="J667" s="30" t="s">
        <v>3113</v>
      </c>
      <c r="K667" s="30" t="s">
        <v>2395</v>
      </c>
      <c r="L667" s="38" t="s">
        <v>22</v>
      </c>
      <c r="M667" s="8">
        <f>COUNTIF($B$1:$B$1191, B667)</f>
        <v>9</v>
      </c>
      <c r="N667" s="8">
        <f>COUNTIF($H$2:$H$1181, H667)</f>
        <v>91</v>
      </c>
    </row>
    <row r="668" spans="1:14">
      <c r="A668" s="32" t="s">
        <v>3114</v>
      </c>
      <c r="B668" s="26" t="s">
        <v>753</v>
      </c>
      <c r="C668" s="26" t="s">
        <v>754</v>
      </c>
      <c r="D668" s="33">
        <v>81.92</v>
      </c>
      <c r="E668" s="33">
        <v>81.92</v>
      </c>
      <c r="F668" s="26">
        <v>1</v>
      </c>
      <c r="G668" s="35">
        <f>E668/F668</f>
        <v>81.92</v>
      </c>
      <c r="H668" s="37" t="s">
        <v>3066</v>
      </c>
      <c r="I668" s="26" t="s">
        <v>3115</v>
      </c>
      <c r="J668" s="26" t="s">
        <v>3116</v>
      </c>
      <c r="K668" s="26" t="s">
        <v>3117</v>
      </c>
      <c r="L668" s="39" t="s">
        <v>22</v>
      </c>
      <c r="M668" s="8">
        <f>COUNTIF($B$1:$B$1191, B668)</f>
        <v>24</v>
      </c>
      <c r="N668" s="8">
        <f>COUNTIF($H$2:$H$1181, H668)</f>
        <v>91</v>
      </c>
    </row>
    <row r="669" spans="1:14">
      <c r="A669" s="29" t="s">
        <v>3118</v>
      </c>
      <c r="B669" s="30" t="s">
        <v>379</v>
      </c>
      <c r="C669" s="30" t="s">
        <v>379</v>
      </c>
      <c r="D669" s="31">
        <v>114.69</v>
      </c>
      <c r="E669" s="31">
        <v>114.69</v>
      </c>
      <c r="F669" s="30">
        <v>1</v>
      </c>
      <c r="G669" s="34">
        <f>E669/F669</f>
        <v>114.69</v>
      </c>
      <c r="H669" s="36" t="s">
        <v>3066</v>
      </c>
      <c r="I669" s="30" t="s">
        <v>3119</v>
      </c>
      <c r="J669" s="30" t="s">
        <v>3120</v>
      </c>
      <c r="K669" s="30" t="s">
        <v>3121</v>
      </c>
      <c r="L669" s="38" t="s">
        <v>22</v>
      </c>
      <c r="M669" s="8">
        <f>COUNTIF($B$1:$B$1191, B669)</f>
        <v>19</v>
      </c>
      <c r="N669" s="8">
        <f>COUNTIF($H$2:$H$1181, H669)</f>
        <v>91</v>
      </c>
    </row>
    <row r="670" spans="1:14">
      <c r="A670" s="32" t="s">
        <v>3122</v>
      </c>
      <c r="B670" s="26" t="s">
        <v>1895</v>
      </c>
      <c r="C670" s="26" t="s">
        <v>1896</v>
      </c>
      <c r="D670" s="33">
        <v>109.23</v>
      </c>
      <c r="E670" s="33">
        <v>109.23</v>
      </c>
      <c r="F670" s="26">
        <v>1</v>
      </c>
      <c r="G670" s="35">
        <f>E670/F670</f>
        <v>109.23</v>
      </c>
      <c r="H670" s="37" t="s">
        <v>3066</v>
      </c>
      <c r="I670" s="26" t="s">
        <v>3123</v>
      </c>
      <c r="J670" s="26" t="s">
        <v>3124</v>
      </c>
      <c r="K670" s="26" t="s">
        <v>3125</v>
      </c>
      <c r="L670" s="39" t="s">
        <v>22</v>
      </c>
      <c r="M670" s="8">
        <f>COUNTIF($B$1:$B$1191, B670)</f>
        <v>9</v>
      </c>
      <c r="N670" s="8">
        <f>COUNTIF($H$2:$H$1181, H670)</f>
        <v>91</v>
      </c>
    </row>
    <row r="671" spans="1:14">
      <c r="A671" s="29" t="s">
        <v>3126</v>
      </c>
      <c r="B671" s="30" t="s">
        <v>1895</v>
      </c>
      <c r="C671" s="30" t="s">
        <v>1896</v>
      </c>
      <c r="D671" s="31">
        <v>109.23</v>
      </c>
      <c r="E671" s="31">
        <v>109.23</v>
      </c>
      <c r="F671" s="30">
        <v>1</v>
      </c>
      <c r="G671" s="34">
        <f>E671/F671</f>
        <v>109.23</v>
      </c>
      <c r="H671" s="36" t="s">
        <v>3066</v>
      </c>
      <c r="I671" s="30" t="s">
        <v>3127</v>
      </c>
      <c r="J671" s="30" t="s">
        <v>3128</v>
      </c>
      <c r="K671" s="30" t="s">
        <v>3129</v>
      </c>
      <c r="L671" s="38" t="s">
        <v>22</v>
      </c>
      <c r="M671" s="8">
        <f>COUNTIF($B$1:$B$1191, B671)</f>
        <v>9</v>
      </c>
      <c r="N671" s="8">
        <f>COUNTIF($H$2:$H$1181, H671)</f>
        <v>91</v>
      </c>
    </row>
    <row r="672" spans="1:14">
      <c r="A672" s="32" t="s">
        <v>3130</v>
      </c>
      <c r="B672" s="26" t="s">
        <v>753</v>
      </c>
      <c r="C672" s="26" t="s">
        <v>754</v>
      </c>
      <c r="D672" s="33">
        <v>87.39</v>
      </c>
      <c r="E672" s="33">
        <v>87.39</v>
      </c>
      <c r="F672" s="26">
        <v>1</v>
      </c>
      <c r="G672" s="35">
        <f>E672/F672</f>
        <v>87.39</v>
      </c>
      <c r="H672" s="37" t="s">
        <v>3066</v>
      </c>
      <c r="I672" s="26" t="s">
        <v>3131</v>
      </c>
      <c r="J672" s="26" t="s">
        <v>3132</v>
      </c>
      <c r="K672" s="26" t="s">
        <v>3133</v>
      </c>
      <c r="L672" s="39" t="s">
        <v>22</v>
      </c>
      <c r="M672" s="8">
        <f>COUNTIF($B$1:$B$1191, B672)</f>
        <v>24</v>
      </c>
      <c r="N672" s="8">
        <f>COUNTIF($H$2:$H$1181, H672)</f>
        <v>91</v>
      </c>
    </row>
    <row r="673" spans="1:14">
      <c r="A673" s="29" t="s">
        <v>3134</v>
      </c>
      <c r="B673" s="30" t="s">
        <v>1162</v>
      </c>
      <c r="C673" s="30" t="s">
        <v>1163</v>
      </c>
      <c r="D673" s="31">
        <v>71</v>
      </c>
      <c r="E673" s="31">
        <v>71</v>
      </c>
      <c r="F673" s="30">
        <v>1</v>
      </c>
      <c r="G673" s="34">
        <f>E673/F673</f>
        <v>71</v>
      </c>
      <c r="H673" s="36" t="s">
        <v>3066</v>
      </c>
      <c r="I673" s="30" t="s">
        <v>3135</v>
      </c>
      <c r="J673" s="30" t="s">
        <v>3136</v>
      </c>
      <c r="K673" s="30" t="s">
        <v>3137</v>
      </c>
      <c r="L673" s="38" t="s">
        <v>22</v>
      </c>
      <c r="M673" s="8">
        <f>COUNTIF($B$1:$B$1191, B673)</f>
        <v>2</v>
      </c>
      <c r="N673" s="8">
        <f>COUNTIF($H$2:$H$1181, H673)</f>
        <v>91</v>
      </c>
    </row>
    <row r="674" spans="1:14">
      <c r="A674" s="32" t="s">
        <v>3138</v>
      </c>
      <c r="B674" s="26" t="s">
        <v>71</v>
      </c>
      <c r="C674" s="26" t="s">
        <v>72</v>
      </c>
      <c r="D674" s="33">
        <v>49.15</v>
      </c>
      <c r="E674" s="33">
        <v>49.15</v>
      </c>
      <c r="F674" s="26">
        <v>1</v>
      </c>
      <c r="G674" s="35">
        <f>E674/F674</f>
        <v>49.15</v>
      </c>
      <c r="H674" s="37" t="s">
        <v>3066</v>
      </c>
      <c r="I674" s="26" t="s">
        <v>3139</v>
      </c>
      <c r="J674" s="26" t="s">
        <v>3140</v>
      </c>
      <c r="K674" s="26" t="s">
        <v>3141</v>
      </c>
      <c r="L674" s="39" t="s">
        <v>22</v>
      </c>
      <c r="M674" s="8">
        <f>COUNTIF($B$1:$B$1191, B674)</f>
        <v>3</v>
      </c>
      <c r="N674" s="8">
        <f>COUNTIF($H$2:$H$1181, H674)</f>
        <v>91</v>
      </c>
    </row>
    <row r="675" spans="1:14">
      <c r="A675" s="29" t="s">
        <v>3142</v>
      </c>
      <c r="B675" s="30" t="s">
        <v>3143</v>
      </c>
      <c r="C675" s="30" t="s">
        <v>3144</v>
      </c>
      <c r="D675" s="31">
        <v>81.92</v>
      </c>
      <c r="E675" s="31">
        <v>81.92</v>
      </c>
      <c r="F675" s="30">
        <v>1</v>
      </c>
      <c r="G675" s="34">
        <f>E675/F675</f>
        <v>81.92</v>
      </c>
      <c r="H675" s="36" t="s">
        <v>3066</v>
      </c>
      <c r="I675" s="30" t="s">
        <v>3145</v>
      </c>
      <c r="J675" s="30" t="s">
        <v>3146</v>
      </c>
      <c r="K675" s="30" t="s">
        <v>3147</v>
      </c>
      <c r="L675" s="38" t="s">
        <v>22</v>
      </c>
      <c r="M675" s="8">
        <f>COUNTIF($B$1:$B$1191, B675)</f>
        <v>1</v>
      </c>
      <c r="N675" s="8">
        <f>COUNTIF($H$2:$H$1181, H675)</f>
        <v>91</v>
      </c>
    </row>
    <row r="676" spans="1:14">
      <c r="A676" s="32" t="s">
        <v>3148</v>
      </c>
      <c r="B676" s="26" t="s">
        <v>511</v>
      </c>
      <c r="C676" s="26" t="s">
        <v>512</v>
      </c>
      <c r="D676" s="33">
        <v>191.16</v>
      </c>
      <c r="E676" s="33">
        <v>191.16</v>
      </c>
      <c r="F676" s="26">
        <v>1</v>
      </c>
      <c r="G676" s="35">
        <f>E676/F676</f>
        <v>191.16</v>
      </c>
      <c r="H676" s="37" t="s">
        <v>3066</v>
      </c>
      <c r="I676" s="26" t="s">
        <v>3149</v>
      </c>
      <c r="J676" s="26" t="s">
        <v>3150</v>
      </c>
      <c r="K676" s="26" t="s">
        <v>3151</v>
      </c>
      <c r="L676" s="39" t="s">
        <v>22</v>
      </c>
      <c r="M676" s="8">
        <f>COUNTIF($B$1:$B$1191, B676)</f>
        <v>2</v>
      </c>
      <c r="N676" s="8">
        <f>COUNTIF($H$2:$H$1181, H676)</f>
        <v>91</v>
      </c>
    </row>
    <row r="677" spans="1:14">
      <c r="A677" s="29" t="s">
        <v>3152</v>
      </c>
      <c r="B677" s="30" t="s">
        <v>3153</v>
      </c>
      <c r="C677" s="30" t="s">
        <v>3154</v>
      </c>
      <c r="D677" s="31">
        <v>158.38999999999999</v>
      </c>
      <c r="E677" s="31">
        <v>158.38999999999999</v>
      </c>
      <c r="F677" s="30">
        <v>1</v>
      </c>
      <c r="G677" s="34">
        <f>E677/F677</f>
        <v>158.38999999999999</v>
      </c>
      <c r="H677" s="36" t="s">
        <v>3066</v>
      </c>
      <c r="I677" s="30" t="s">
        <v>3155</v>
      </c>
      <c r="J677" s="30" t="s">
        <v>3156</v>
      </c>
      <c r="K677" s="30" t="s">
        <v>3157</v>
      </c>
      <c r="L677" s="38" t="s">
        <v>22</v>
      </c>
      <c r="M677" s="8">
        <f>COUNTIF($B$1:$B$1191, B677)</f>
        <v>1</v>
      </c>
      <c r="N677" s="8">
        <f>COUNTIF($H$2:$H$1181, H677)</f>
        <v>91</v>
      </c>
    </row>
    <row r="678" spans="1:14">
      <c r="A678" s="32" t="s">
        <v>3158</v>
      </c>
      <c r="B678" s="26" t="s">
        <v>1895</v>
      </c>
      <c r="C678" s="26" t="s">
        <v>1896</v>
      </c>
      <c r="D678" s="33">
        <v>109.23</v>
      </c>
      <c r="E678" s="33">
        <v>109.23</v>
      </c>
      <c r="F678" s="26">
        <v>1</v>
      </c>
      <c r="G678" s="35">
        <f>E678/F678</f>
        <v>109.23</v>
      </c>
      <c r="H678" s="37" t="s">
        <v>3066</v>
      </c>
      <c r="I678" s="26" t="s">
        <v>3159</v>
      </c>
      <c r="J678" s="26" t="s">
        <v>3160</v>
      </c>
      <c r="K678" s="26" t="s">
        <v>3161</v>
      </c>
      <c r="L678" s="39" t="s">
        <v>22</v>
      </c>
      <c r="M678" s="8">
        <f>COUNTIF($B$1:$B$1191, B678)</f>
        <v>9</v>
      </c>
      <c r="N678" s="8">
        <f>COUNTIF($H$2:$H$1181, H678)</f>
        <v>91</v>
      </c>
    </row>
    <row r="679" spans="1:14">
      <c r="A679" s="29" t="s">
        <v>3162</v>
      </c>
      <c r="B679" s="30" t="s">
        <v>1895</v>
      </c>
      <c r="C679" s="30" t="s">
        <v>1896</v>
      </c>
      <c r="D679" s="31">
        <v>109.23</v>
      </c>
      <c r="E679" s="31">
        <v>109.23</v>
      </c>
      <c r="F679" s="30">
        <v>1</v>
      </c>
      <c r="G679" s="34">
        <f>E679/F679</f>
        <v>109.23</v>
      </c>
      <c r="H679" s="36" t="s">
        <v>3066</v>
      </c>
      <c r="I679" s="30" t="s">
        <v>3163</v>
      </c>
      <c r="J679" s="30" t="s">
        <v>3164</v>
      </c>
      <c r="K679" s="30" t="s">
        <v>3165</v>
      </c>
      <c r="L679" s="38" t="s">
        <v>22</v>
      </c>
      <c r="M679" s="8">
        <f>COUNTIF($B$1:$B$1191, B679)</f>
        <v>9</v>
      </c>
      <c r="N679" s="8">
        <f>COUNTIF($H$2:$H$1181, H679)</f>
        <v>91</v>
      </c>
    </row>
    <row r="680" spans="1:14">
      <c r="A680" s="32" t="s">
        <v>3166</v>
      </c>
      <c r="B680" s="26" t="s">
        <v>1895</v>
      </c>
      <c r="C680" s="26" t="s">
        <v>1896</v>
      </c>
      <c r="D680" s="33">
        <v>109.23</v>
      </c>
      <c r="E680" s="33">
        <v>109.23</v>
      </c>
      <c r="F680" s="26">
        <v>1</v>
      </c>
      <c r="G680" s="35">
        <f>E680/F680</f>
        <v>109.23</v>
      </c>
      <c r="H680" s="37" t="s">
        <v>3066</v>
      </c>
      <c r="I680" s="26" t="s">
        <v>3167</v>
      </c>
      <c r="J680" s="26" t="s">
        <v>3168</v>
      </c>
      <c r="K680" s="26" t="s">
        <v>3169</v>
      </c>
      <c r="L680" s="39" t="s">
        <v>22</v>
      </c>
      <c r="M680" s="8">
        <f>COUNTIF($B$1:$B$1191, B680)</f>
        <v>9</v>
      </c>
      <c r="N680" s="8">
        <f>COUNTIF($H$2:$H$1181, H680)</f>
        <v>91</v>
      </c>
    </row>
    <row r="681" spans="1:14">
      <c r="A681" s="29" t="s">
        <v>3170</v>
      </c>
      <c r="B681" s="30" t="s">
        <v>1895</v>
      </c>
      <c r="C681" s="30" t="s">
        <v>1896</v>
      </c>
      <c r="D681" s="31">
        <v>109.23</v>
      </c>
      <c r="E681" s="31">
        <v>109.23</v>
      </c>
      <c r="F681" s="30">
        <v>1</v>
      </c>
      <c r="G681" s="34">
        <f>E681/F681</f>
        <v>109.23</v>
      </c>
      <c r="H681" s="36" t="s">
        <v>3066</v>
      </c>
      <c r="I681" s="30" t="s">
        <v>3171</v>
      </c>
      <c r="J681" s="30" t="s">
        <v>3172</v>
      </c>
      <c r="K681" s="30" t="s">
        <v>3173</v>
      </c>
      <c r="L681" s="38" t="s">
        <v>22</v>
      </c>
      <c r="M681" s="8">
        <f>COUNTIF($B$1:$B$1191, B681)</f>
        <v>9</v>
      </c>
      <c r="N681" s="8">
        <f>COUNTIF($H$2:$H$1181, H681)</f>
        <v>91</v>
      </c>
    </row>
    <row r="682" spans="1:14">
      <c r="A682" s="32" t="s">
        <v>3174</v>
      </c>
      <c r="B682" s="26" t="s">
        <v>3175</v>
      </c>
      <c r="C682" s="26" t="s">
        <v>3176</v>
      </c>
      <c r="D682" s="33">
        <v>109.23</v>
      </c>
      <c r="E682" s="33">
        <v>109.23</v>
      </c>
      <c r="F682" s="26">
        <v>1</v>
      </c>
      <c r="G682" s="35">
        <f>E682/F682</f>
        <v>109.23</v>
      </c>
      <c r="H682" s="37" t="s">
        <v>3066</v>
      </c>
      <c r="I682" s="26" t="s">
        <v>3177</v>
      </c>
      <c r="J682" s="26" t="s">
        <v>3178</v>
      </c>
      <c r="K682" s="26" t="s">
        <v>3179</v>
      </c>
      <c r="L682" s="39" t="s">
        <v>22</v>
      </c>
      <c r="M682" s="8">
        <f>COUNTIF($B$1:$B$1191, B682)</f>
        <v>1</v>
      </c>
      <c r="N682" s="8">
        <f>COUNTIF($H$2:$H$1181, H682)</f>
        <v>91</v>
      </c>
    </row>
    <row r="683" spans="1:14">
      <c r="A683" s="29" t="s">
        <v>3180</v>
      </c>
      <c r="B683" s="30" t="s">
        <v>517</v>
      </c>
      <c r="C683" s="30" t="s">
        <v>518</v>
      </c>
      <c r="D683" s="31">
        <v>103.77</v>
      </c>
      <c r="E683" s="31">
        <v>103.77</v>
      </c>
      <c r="F683" s="30">
        <v>1</v>
      </c>
      <c r="G683" s="34">
        <f>E683/F683</f>
        <v>103.77</v>
      </c>
      <c r="H683" s="36" t="s">
        <v>3066</v>
      </c>
      <c r="I683" s="30" t="s">
        <v>3181</v>
      </c>
      <c r="J683" s="30" t="s">
        <v>3182</v>
      </c>
      <c r="K683" s="30" t="s">
        <v>3183</v>
      </c>
      <c r="L683" s="38" t="s">
        <v>22</v>
      </c>
      <c r="M683" s="8">
        <f>COUNTIF($B$1:$B$1191, B683)</f>
        <v>12</v>
      </c>
      <c r="N683" s="8">
        <f>COUNTIF($H$2:$H$1181, H683)</f>
        <v>91</v>
      </c>
    </row>
    <row r="684" spans="1:14">
      <c r="A684" s="32" t="s">
        <v>3184</v>
      </c>
      <c r="B684" s="26" t="s">
        <v>1605</v>
      </c>
      <c r="C684" s="26" t="s">
        <v>1606</v>
      </c>
      <c r="D684" s="33">
        <v>103.77</v>
      </c>
      <c r="E684" s="33">
        <v>103.77</v>
      </c>
      <c r="F684" s="26">
        <v>1</v>
      </c>
      <c r="G684" s="35">
        <f>E684/F684</f>
        <v>103.77</v>
      </c>
      <c r="H684" s="37" t="s">
        <v>3066</v>
      </c>
      <c r="I684" s="26" t="s">
        <v>3185</v>
      </c>
      <c r="J684" s="26" t="s">
        <v>3186</v>
      </c>
      <c r="K684" s="26" t="s">
        <v>3187</v>
      </c>
      <c r="L684" s="39" t="s">
        <v>22</v>
      </c>
      <c r="M684" s="8">
        <f>COUNTIF($B$1:$B$1191, B684)</f>
        <v>3</v>
      </c>
      <c r="N684" s="8">
        <f>COUNTIF($H$2:$H$1181, H684)</f>
        <v>91</v>
      </c>
    </row>
    <row r="685" spans="1:14">
      <c r="A685" s="29" t="s">
        <v>3188</v>
      </c>
      <c r="B685" s="30" t="s">
        <v>3189</v>
      </c>
      <c r="C685" s="30" t="s">
        <v>3190</v>
      </c>
      <c r="D685" s="31">
        <v>98.31</v>
      </c>
      <c r="E685" s="31">
        <v>98.31</v>
      </c>
      <c r="F685" s="30">
        <v>1</v>
      </c>
      <c r="G685" s="34">
        <f>E685/F685</f>
        <v>98.31</v>
      </c>
      <c r="H685" s="36" t="s">
        <v>3066</v>
      </c>
      <c r="I685" s="30" t="s">
        <v>3191</v>
      </c>
      <c r="J685" s="30" t="s">
        <v>3192</v>
      </c>
      <c r="K685" s="30" t="s">
        <v>3193</v>
      </c>
      <c r="L685" s="38" t="s">
        <v>22</v>
      </c>
      <c r="M685" s="8">
        <f>COUNTIF($B$1:$B$1191, B685)</f>
        <v>2</v>
      </c>
      <c r="N685" s="8">
        <f>COUNTIF($H$2:$H$1181, H685)</f>
        <v>91</v>
      </c>
    </row>
    <row r="686" spans="1:14">
      <c r="A686" s="32" t="s">
        <v>3194</v>
      </c>
      <c r="B686" s="26" t="s">
        <v>3195</v>
      </c>
      <c r="C686" s="26" t="s">
        <v>3196</v>
      </c>
      <c r="D686" s="33">
        <v>98.31</v>
      </c>
      <c r="E686" s="33">
        <v>98.31</v>
      </c>
      <c r="F686" s="26">
        <v>1</v>
      </c>
      <c r="G686" s="35">
        <f>E686/F686</f>
        <v>98.31</v>
      </c>
      <c r="H686" s="37" t="s">
        <v>3066</v>
      </c>
      <c r="I686" s="26" t="s">
        <v>3197</v>
      </c>
      <c r="J686" s="26" t="s">
        <v>3198</v>
      </c>
      <c r="K686" s="26" t="s">
        <v>3199</v>
      </c>
      <c r="L686" s="39" t="s">
        <v>22</v>
      </c>
      <c r="M686" s="8">
        <f>COUNTIF($B$1:$B$1191, B686)</f>
        <v>1</v>
      </c>
      <c r="N686" s="8">
        <f>COUNTIF($H$2:$H$1181, H686)</f>
        <v>91</v>
      </c>
    </row>
    <row r="687" spans="1:14">
      <c r="A687" s="29" t="s">
        <v>3200</v>
      </c>
      <c r="B687" s="30" t="s">
        <v>3189</v>
      </c>
      <c r="C687" s="30" t="s">
        <v>3190</v>
      </c>
      <c r="D687" s="31">
        <v>92.85</v>
      </c>
      <c r="E687" s="31">
        <v>92.85</v>
      </c>
      <c r="F687" s="30">
        <v>1</v>
      </c>
      <c r="G687" s="34">
        <f>E687/F687</f>
        <v>92.85</v>
      </c>
      <c r="H687" s="36" t="s">
        <v>3066</v>
      </c>
      <c r="I687" s="30" t="s">
        <v>3201</v>
      </c>
      <c r="J687" s="30" t="s">
        <v>3202</v>
      </c>
      <c r="K687" s="30" t="s">
        <v>3203</v>
      </c>
      <c r="L687" s="38" t="s">
        <v>22</v>
      </c>
      <c r="M687" s="8">
        <f>COUNTIF($B$1:$B$1191, B687)</f>
        <v>2</v>
      </c>
      <c r="N687" s="8">
        <f>COUNTIF($H$2:$H$1181, H687)</f>
        <v>91</v>
      </c>
    </row>
    <row r="688" spans="1:14">
      <c r="A688" s="32" t="s">
        <v>3204</v>
      </c>
      <c r="B688" s="26" t="s">
        <v>856</v>
      </c>
      <c r="C688" s="26" t="s">
        <v>857</v>
      </c>
      <c r="D688" s="33">
        <v>87.39</v>
      </c>
      <c r="E688" s="33">
        <v>87.39</v>
      </c>
      <c r="F688" s="26">
        <v>1</v>
      </c>
      <c r="G688" s="35">
        <f>E688/F688</f>
        <v>87.39</v>
      </c>
      <c r="H688" s="37" t="s">
        <v>3066</v>
      </c>
      <c r="I688" s="26" t="s">
        <v>3205</v>
      </c>
      <c r="J688" s="26" t="s">
        <v>3206</v>
      </c>
      <c r="K688" s="26" t="s">
        <v>3207</v>
      </c>
      <c r="L688" s="39" t="s">
        <v>22</v>
      </c>
      <c r="M688" s="8">
        <f>COUNTIF($B$1:$B$1191, B688)</f>
        <v>19</v>
      </c>
      <c r="N688" s="8">
        <f>COUNTIF($H$2:$H$1181, H688)</f>
        <v>91</v>
      </c>
    </row>
    <row r="689" spans="1:14">
      <c r="A689" s="29" t="s">
        <v>3208</v>
      </c>
      <c r="B689" s="30" t="s">
        <v>3209</v>
      </c>
      <c r="C689" s="30" t="s">
        <v>3210</v>
      </c>
      <c r="D689" s="31">
        <v>87.39</v>
      </c>
      <c r="E689" s="31">
        <v>87.39</v>
      </c>
      <c r="F689" s="30">
        <v>1</v>
      </c>
      <c r="G689" s="34">
        <f>E689/F689</f>
        <v>87.39</v>
      </c>
      <c r="H689" s="36" t="s">
        <v>3066</v>
      </c>
      <c r="I689" s="30" t="s">
        <v>3211</v>
      </c>
      <c r="J689" s="30" t="s">
        <v>3212</v>
      </c>
      <c r="K689" s="30" t="s">
        <v>3213</v>
      </c>
      <c r="L689" s="38" t="s">
        <v>22</v>
      </c>
      <c r="M689" s="8">
        <f>COUNTIF($B$1:$B$1191, B689)</f>
        <v>5</v>
      </c>
      <c r="N689" s="8">
        <f>COUNTIF($H$2:$H$1181, H689)</f>
        <v>91</v>
      </c>
    </row>
    <row r="690" spans="1:14">
      <c r="A690" s="32" t="s">
        <v>3214</v>
      </c>
      <c r="B690" s="26" t="s">
        <v>753</v>
      </c>
      <c r="C690" s="26" t="s">
        <v>754</v>
      </c>
      <c r="D690" s="33">
        <v>81.92</v>
      </c>
      <c r="E690" s="33">
        <v>81.92</v>
      </c>
      <c r="F690" s="26">
        <v>1</v>
      </c>
      <c r="G690" s="35">
        <f>E690/F690</f>
        <v>81.92</v>
      </c>
      <c r="H690" s="37" t="s">
        <v>3066</v>
      </c>
      <c r="I690" s="26" t="s">
        <v>3215</v>
      </c>
      <c r="J690" s="26" t="s">
        <v>3216</v>
      </c>
      <c r="K690" s="26" t="s">
        <v>3217</v>
      </c>
      <c r="L690" s="39" t="s">
        <v>22</v>
      </c>
      <c r="M690" s="8">
        <f>COUNTIF($B$1:$B$1191, B690)</f>
        <v>24</v>
      </c>
      <c r="N690" s="8">
        <f>COUNTIF($H$2:$H$1181, H690)</f>
        <v>91</v>
      </c>
    </row>
    <row r="691" spans="1:14">
      <c r="A691" s="29" t="s">
        <v>3218</v>
      </c>
      <c r="B691" s="30" t="s">
        <v>856</v>
      </c>
      <c r="C691" s="30" t="s">
        <v>857</v>
      </c>
      <c r="D691" s="31">
        <v>76.459999999999994</v>
      </c>
      <c r="E691" s="31">
        <v>76.459999999999994</v>
      </c>
      <c r="F691" s="30">
        <v>1</v>
      </c>
      <c r="G691" s="34">
        <f>E691/F691</f>
        <v>76.459999999999994</v>
      </c>
      <c r="H691" s="36" t="s">
        <v>3066</v>
      </c>
      <c r="I691" s="30" t="s">
        <v>3219</v>
      </c>
      <c r="J691" s="30" t="s">
        <v>3220</v>
      </c>
      <c r="K691" s="30" t="s">
        <v>3221</v>
      </c>
      <c r="L691" s="38" t="s">
        <v>22</v>
      </c>
      <c r="M691" s="8">
        <f>COUNTIF($B$1:$B$1191, B691)</f>
        <v>19</v>
      </c>
      <c r="N691" s="8">
        <f>COUNTIF($H$2:$H$1181, H691)</f>
        <v>91</v>
      </c>
    </row>
    <row r="692" spans="1:14">
      <c r="A692" s="32" t="s">
        <v>3222</v>
      </c>
      <c r="B692" s="26" t="s">
        <v>2516</v>
      </c>
      <c r="C692" s="26" t="s">
        <v>2517</v>
      </c>
      <c r="D692" s="33">
        <v>71</v>
      </c>
      <c r="E692" s="33">
        <v>71</v>
      </c>
      <c r="F692" s="26">
        <v>1</v>
      </c>
      <c r="G692" s="35">
        <f>E692/F692</f>
        <v>71</v>
      </c>
      <c r="H692" s="37" t="s">
        <v>3066</v>
      </c>
      <c r="I692" s="26" t="s">
        <v>3223</v>
      </c>
      <c r="J692" s="26" t="s">
        <v>3224</v>
      </c>
      <c r="K692" s="26" t="s">
        <v>3225</v>
      </c>
      <c r="L692" s="39" t="s">
        <v>22</v>
      </c>
      <c r="M692" s="8">
        <f>COUNTIF($B$1:$B$1191, B692)</f>
        <v>2</v>
      </c>
      <c r="N692" s="8">
        <f>COUNTIF($H$2:$H$1181, H692)</f>
        <v>91</v>
      </c>
    </row>
    <row r="693" spans="1:14">
      <c r="A693" s="29" t="s">
        <v>3226</v>
      </c>
      <c r="B693" s="30" t="s">
        <v>3227</v>
      </c>
      <c r="C693" s="30" t="s">
        <v>3228</v>
      </c>
      <c r="D693" s="31">
        <v>65.540000000000006</v>
      </c>
      <c r="E693" s="31">
        <v>65.540000000000006</v>
      </c>
      <c r="F693" s="30">
        <v>1</v>
      </c>
      <c r="G693" s="34">
        <f>E693/F693</f>
        <v>65.540000000000006</v>
      </c>
      <c r="H693" s="36" t="s">
        <v>3066</v>
      </c>
      <c r="I693" s="30" t="s">
        <v>3229</v>
      </c>
      <c r="J693" s="30" t="s">
        <v>3230</v>
      </c>
      <c r="K693" s="30" t="s">
        <v>3231</v>
      </c>
      <c r="L693" s="38" t="s">
        <v>22</v>
      </c>
      <c r="M693" s="8">
        <f>COUNTIF($B$1:$B$1191, B693)</f>
        <v>1</v>
      </c>
      <c r="N693" s="8">
        <f>COUNTIF($H$2:$H$1181, H693)</f>
        <v>91</v>
      </c>
    </row>
    <row r="694" spans="1:14">
      <c r="A694" s="32" t="s">
        <v>3232</v>
      </c>
      <c r="B694" s="26" t="s">
        <v>3233</v>
      </c>
      <c r="C694" s="26" t="s">
        <v>3234</v>
      </c>
      <c r="D694" s="33">
        <v>158.38999999999999</v>
      </c>
      <c r="E694" s="33">
        <v>158.38999999999999</v>
      </c>
      <c r="F694" s="26">
        <v>1</v>
      </c>
      <c r="G694" s="35">
        <f>E694/F694</f>
        <v>158.38999999999999</v>
      </c>
      <c r="H694" s="37" t="s">
        <v>3066</v>
      </c>
      <c r="I694" s="26" t="s">
        <v>3235</v>
      </c>
      <c r="J694" s="26" t="s">
        <v>3236</v>
      </c>
      <c r="K694" s="26" t="s">
        <v>3237</v>
      </c>
      <c r="L694" s="39" t="s">
        <v>22</v>
      </c>
      <c r="M694" s="8">
        <f>COUNTIF($B$1:$B$1191, B694)</f>
        <v>1</v>
      </c>
      <c r="N694" s="8">
        <f>COUNTIF($H$2:$H$1181, H694)</f>
        <v>91</v>
      </c>
    </row>
    <row r="695" spans="1:14">
      <c r="A695" s="29" t="s">
        <v>3238</v>
      </c>
      <c r="B695" s="30" t="s">
        <v>3239</v>
      </c>
      <c r="C695" s="30" t="s">
        <v>3239</v>
      </c>
      <c r="D695" s="31">
        <v>136.54</v>
      </c>
      <c r="E695" s="31">
        <v>136.54</v>
      </c>
      <c r="F695" s="30">
        <v>1</v>
      </c>
      <c r="G695" s="34">
        <f>E695/F695</f>
        <v>136.54</v>
      </c>
      <c r="H695" s="36" t="s">
        <v>3066</v>
      </c>
      <c r="I695" s="30" t="s">
        <v>3240</v>
      </c>
      <c r="J695" s="30" t="s">
        <v>3241</v>
      </c>
      <c r="K695" s="30" t="s">
        <v>3242</v>
      </c>
      <c r="L695" s="38" t="s">
        <v>22</v>
      </c>
      <c r="M695" s="8">
        <f>COUNTIF($B$1:$B$1191, B695)</f>
        <v>1</v>
      </c>
      <c r="N695" s="8">
        <f>COUNTIF($H$2:$H$1181, H695)</f>
        <v>91</v>
      </c>
    </row>
    <row r="696" spans="1:14">
      <c r="A696" s="32" t="s">
        <v>3243</v>
      </c>
      <c r="B696" s="26" t="s">
        <v>379</v>
      </c>
      <c r="C696" s="26" t="s">
        <v>379</v>
      </c>
      <c r="D696" s="33">
        <v>125.62</v>
      </c>
      <c r="E696" s="33">
        <v>125.62</v>
      </c>
      <c r="F696" s="26">
        <v>1</v>
      </c>
      <c r="G696" s="35">
        <f>E696/F696</f>
        <v>125.62</v>
      </c>
      <c r="H696" s="37" t="s">
        <v>3066</v>
      </c>
      <c r="I696" s="26" t="s">
        <v>3244</v>
      </c>
      <c r="J696" s="26" t="s">
        <v>3245</v>
      </c>
      <c r="K696" s="26" t="s">
        <v>3246</v>
      </c>
      <c r="L696" s="39" t="s">
        <v>22</v>
      </c>
      <c r="M696" s="8">
        <f>COUNTIF($B$1:$B$1191, B696)</f>
        <v>19</v>
      </c>
      <c r="N696" s="8">
        <f>COUNTIF($H$2:$H$1181, H696)</f>
        <v>91</v>
      </c>
    </row>
    <row r="697" spans="1:14">
      <c r="A697" s="29" t="s">
        <v>3247</v>
      </c>
      <c r="B697" s="30" t="s">
        <v>379</v>
      </c>
      <c r="C697" s="30" t="s">
        <v>379</v>
      </c>
      <c r="D697" s="31">
        <v>114.69</v>
      </c>
      <c r="E697" s="31">
        <v>114.69</v>
      </c>
      <c r="F697" s="30">
        <v>1</v>
      </c>
      <c r="G697" s="34">
        <f>E697/F697</f>
        <v>114.69</v>
      </c>
      <c r="H697" s="36" t="s">
        <v>3066</v>
      </c>
      <c r="I697" s="30" t="s">
        <v>3248</v>
      </c>
      <c r="J697" s="30" t="s">
        <v>3249</v>
      </c>
      <c r="K697" s="30" t="s">
        <v>3250</v>
      </c>
      <c r="L697" s="38" t="s">
        <v>22</v>
      </c>
      <c r="M697" s="8">
        <f>COUNTIF($B$1:$B$1191, B697)</f>
        <v>19</v>
      </c>
      <c r="N697" s="8">
        <f>COUNTIF($H$2:$H$1181, H697)</f>
        <v>91</v>
      </c>
    </row>
    <row r="698" spans="1:14">
      <c r="A698" s="32" t="s">
        <v>3251</v>
      </c>
      <c r="B698" s="26" t="s">
        <v>753</v>
      </c>
      <c r="C698" s="26" t="s">
        <v>754</v>
      </c>
      <c r="D698" s="33">
        <v>81.92</v>
      </c>
      <c r="E698" s="33">
        <v>81.92</v>
      </c>
      <c r="F698" s="26">
        <v>1</v>
      </c>
      <c r="G698" s="35">
        <f>E698/F698</f>
        <v>81.92</v>
      </c>
      <c r="H698" s="37" t="s">
        <v>3066</v>
      </c>
      <c r="I698" s="26" t="s">
        <v>3252</v>
      </c>
      <c r="J698" s="26" t="s">
        <v>3253</v>
      </c>
      <c r="K698" s="26" t="s">
        <v>3254</v>
      </c>
      <c r="L698" s="39" t="s">
        <v>22</v>
      </c>
      <c r="M698" s="8">
        <f>COUNTIF($B$1:$B$1191, B698)</f>
        <v>24</v>
      </c>
      <c r="N698" s="8">
        <f>COUNTIF($H$2:$H$1181, H698)</f>
        <v>91</v>
      </c>
    </row>
    <row r="699" spans="1:14">
      <c r="A699" s="29" t="s">
        <v>3255</v>
      </c>
      <c r="B699" s="30" t="s">
        <v>3256</v>
      </c>
      <c r="C699" s="30" t="s">
        <v>3257</v>
      </c>
      <c r="D699" s="31">
        <v>109.23</v>
      </c>
      <c r="E699" s="31">
        <v>109.23</v>
      </c>
      <c r="F699" s="30">
        <v>1</v>
      </c>
      <c r="G699" s="34">
        <f>E699/F699</f>
        <v>109.23</v>
      </c>
      <c r="H699" s="36" t="s">
        <v>3066</v>
      </c>
      <c r="I699" s="30" t="s">
        <v>3258</v>
      </c>
      <c r="J699" s="30" t="s">
        <v>3259</v>
      </c>
      <c r="K699" s="30" t="s">
        <v>3260</v>
      </c>
      <c r="L699" s="38" t="s">
        <v>22</v>
      </c>
      <c r="M699" s="8">
        <f>COUNTIF($B$1:$B$1191, B699)</f>
        <v>1</v>
      </c>
      <c r="N699" s="8">
        <f>COUNTIF($H$2:$H$1181, H699)</f>
        <v>91</v>
      </c>
    </row>
    <row r="700" spans="1:14">
      <c r="A700" s="32" t="s">
        <v>3261</v>
      </c>
      <c r="B700" s="26" t="s">
        <v>1268</v>
      </c>
      <c r="C700" s="26" t="s">
        <v>1269</v>
      </c>
      <c r="D700" s="33">
        <v>158.38999999999999</v>
      </c>
      <c r="E700" s="33">
        <v>158.38999999999999</v>
      </c>
      <c r="F700" s="26">
        <v>1</v>
      </c>
      <c r="G700" s="35">
        <f>E700/F700</f>
        <v>158.38999999999999</v>
      </c>
      <c r="H700" s="37" t="s">
        <v>3066</v>
      </c>
      <c r="I700" s="26" t="s">
        <v>3262</v>
      </c>
      <c r="J700" s="26" t="s">
        <v>3263</v>
      </c>
      <c r="K700" s="26" t="s">
        <v>3264</v>
      </c>
      <c r="L700" s="39" t="s">
        <v>22</v>
      </c>
      <c r="M700" s="8">
        <f>COUNTIF($B$1:$B$1191, B700)</f>
        <v>5</v>
      </c>
      <c r="N700" s="8">
        <f>COUNTIF($H$2:$H$1181, H700)</f>
        <v>91</v>
      </c>
    </row>
    <row r="701" spans="1:14">
      <c r="A701" s="29" t="s">
        <v>3265</v>
      </c>
      <c r="B701" s="30" t="s">
        <v>1053</v>
      </c>
      <c r="C701" s="30" t="s">
        <v>506</v>
      </c>
      <c r="D701" s="31">
        <v>136.54</v>
      </c>
      <c r="E701" s="31">
        <v>136.54</v>
      </c>
      <c r="F701" s="30">
        <v>1</v>
      </c>
      <c r="G701" s="34">
        <f>E701/F701</f>
        <v>136.54</v>
      </c>
      <c r="H701" s="36" t="s">
        <v>3066</v>
      </c>
      <c r="I701" s="30" t="s">
        <v>3266</v>
      </c>
      <c r="J701" s="30" t="s">
        <v>3267</v>
      </c>
      <c r="K701" s="30" t="s">
        <v>3268</v>
      </c>
      <c r="L701" s="38" t="s">
        <v>22</v>
      </c>
      <c r="M701" s="8">
        <f>COUNTIF($B$1:$B$1191, B701)</f>
        <v>20</v>
      </c>
      <c r="N701" s="8">
        <f>COUNTIF($H$2:$H$1181, H701)</f>
        <v>91</v>
      </c>
    </row>
    <row r="702" spans="1:14">
      <c r="A702" s="32" t="s">
        <v>3269</v>
      </c>
      <c r="B702" s="26" t="s">
        <v>3270</v>
      </c>
      <c r="C702" s="26" t="s">
        <v>3271</v>
      </c>
      <c r="D702" s="33">
        <v>103.77</v>
      </c>
      <c r="E702" s="33">
        <v>103.77</v>
      </c>
      <c r="F702" s="26">
        <v>1</v>
      </c>
      <c r="G702" s="35">
        <f>E702/F702</f>
        <v>103.77</v>
      </c>
      <c r="H702" s="37" t="s">
        <v>3066</v>
      </c>
      <c r="I702" s="26" t="s">
        <v>3272</v>
      </c>
      <c r="J702" s="26" t="s">
        <v>3273</v>
      </c>
      <c r="K702" s="26" t="s">
        <v>3274</v>
      </c>
      <c r="L702" s="39" t="s">
        <v>22</v>
      </c>
      <c r="M702" s="8">
        <f>COUNTIF($B$1:$B$1191, B702)</f>
        <v>1</v>
      </c>
      <c r="N702" s="8">
        <f>COUNTIF($H$2:$H$1181, H702)</f>
        <v>91</v>
      </c>
    </row>
    <row r="703" spans="1:14">
      <c r="A703" s="29" t="s">
        <v>3275</v>
      </c>
      <c r="B703" s="30" t="s">
        <v>1605</v>
      </c>
      <c r="C703" s="30" t="s">
        <v>1606</v>
      </c>
      <c r="D703" s="31">
        <v>103.77</v>
      </c>
      <c r="E703" s="31">
        <v>103.77</v>
      </c>
      <c r="F703" s="30">
        <v>1</v>
      </c>
      <c r="G703" s="34">
        <f>E703/F703</f>
        <v>103.77</v>
      </c>
      <c r="H703" s="36" t="s">
        <v>3066</v>
      </c>
      <c r="I703" s="30" t="s">
        <v>3276</v>
      </c>
      <c r="J703" s="30" t="s">
        <v>3277</v>
      </c>
      <c r="K703" s="30" t="s">
        <v>3278</v>
      </c>
      <c r="L703" s="38" t="s">
        <v>22</v>
      </c>
      <c r="M703" s="8">
        <f>COUNTIF($B$1:$B$1191, B703)</f>
        <v>3</v>
      </c>
      <c r="N703" s="8">
        <f>COUNTIF($H$2:$H$1181, H703)</f>
        <v>91</v>
      </c>
    </row>
    <row r="704" spans="1:14">
      <c r="A704" s="32" t="s">
        <v>3279</v>
      </c>
      <c r="B704" s="26" t="s">
        <v>3280</v>
      </c>
      <c r="C704" s="26" t="s">
        <v>3281</v>
      </c>
      <c r="D704" s="33">
        <v>81.92</v>
      </c>
      <c r="E704" s="33">
        <v>81.92</v>
      </c>
      <c r="F704" s="26">
        <v>1</v>
      </c>
      <c r="G704" s="35">
        <f>E704/F704</f>
        <v>81.92</v>
      </c>
      <c r="H704" s="37" t="s">
        <v>3066</v>
      </c>
      <c r="I704" s="26" t="s">
        <v>3282</v>
      </c>
      <c r="J704" s="26" t="s">
        <v>3283</v>
      </c>
      <c r="K704" s="26" t="s">
        <v>3284</v>
      </c>
      <c r="L704" s="39" t="s">
        <v>22</v>
      </c>
      <c r="M704" s="8">
        <f>COUNTIF($B$1:$B$1191, B704)</f>
        <v>1</v>
      </c>
      <c r="N704" s="8">
        <f>COUNTIF($H$2:$H$1181, H704)</f>
        <v>91</v>
      </c>
    </row>
    <row r="705" spans="1:14">
      <c r="A705" s="29" t="s">
        <v>3285</v>
      </c>
      <c r="B705" s="30" t="s">
        <v>186</v>
      </c>
      <c r="C705" s="30" t="s">
        <v>187</v>
      </c>
      <c r="D705" s="31">
        <v>65.540000000000006</v>
      </c>
      <c r="E705" s="31">
        <v>65.540000000000006</v>
      </c>
      <c r="F705" s="30">
        <v>1</v>
      </c>
      <c r="G705" s="34">
        <f>E705/F705</f>
        <v>65.540000000000006</v>
      </c>
      <c r="H705" s="36" t="s">
        <v>3066</v>
      </c>
      <c r="I705" s="30" t="s">
        <v>3286</v>
      </c>
      <c r="J705" s="30" t="s">
        <v>3287</v>
      </c>
      <c r="K705" s="30" t="s">
        <v>3288</v>
      </c>
      <c r="L705" s="38" t="s">
        <v>22</v>
      </c>
      <c r="M705" s="8">
        <f>COUNTIF($B$1:$B$1191, B705)</f>
        <v>5</v>
      </c>
      <c r="N705" s="8">
        <f>COUNTIF($H$2:$H$1181, H705)</f>
        <v>91</v>
      </c>
    </row>
    <row r="706" spans="1:14">
      <c r="A706" s="32" t="s">
        <v>3289</v>
      </c>
      <c r="B706" s="26" t="s">
        <v>2642</v>
      </c>
      <c r="C706" s="26" t="s">
        <v>2643</v>
      </c>
      <c r="D706" s="33">
        <v>54.62</v>
      </c>
      <c r="E706" s="33">
        <v>54.62</v>
      </c>
      <c r="F706" s="26">
        <v>1</v>
      </c>
      <c r="G706" s="35">
        <f>E706/F706</f>
        <v>54.62</v>
      </c>
      <c r="H706" s="37" t="s">
        <v>3066</v>
      </c>
      <c r="I706" s="26" t="s">
        <v>3290</v>
      </c>
      <c r="J706" s="26" t="s">
        <v>3291</v>
      </c>
      <c r="K706" s="26" t="s">
        <v>3292</v>
      </c>
      <c r="L706" s="39" t="s">
        <v>22</v>
      </c>
      <c r="M706" s="8">
        <f>COUNTIF($B$1:$B$1191, B706)</f>
        <v>2</v>
      </c>
      <c r="N706" s="8">
        <f>COUNTIF($H$2:$H$1181, H706)</f>
        <v>91</v>
      </c>
    </row>
    <row r="707" spans="1:14">
      <c r="A707" s="29" t="s">
        <v>3293</v>
      </c>
      <c r="B707" s="30" t="s">
        <v>3075</v>
      </c>
      <c r="C707" s="30" t="s">
        <v>3076</v>
      </c>
      <c r="D707" s="31">
        <v>103.77</v>
      </c>
      <c r="E707" s="31">
        <v>103.77</v>
      </c>
      <c r="F707" s="30">
        <v>1</v>
      </c>
      <c r="G707" s="34">
        <f>E707/F707</f>
        <v>103.77</v>
      </c>
      <c r="H707" s="36" t="s">
        <v>3066</v>
      </c>
      <c r="I707" s="30" t="s">
        <v>3294</v>
      </c>
      <c r="J707" s="30" t="s">
        <v>3295</v>
      </c>
      <c r="K707" s="30" t="s">
        <v>3296</v>
      </c>
      <c r="L707" s="38" t="s">
        <v>22</v>
      </c>
      <c r="M707" s="8">
        <f>COUNTIF($B$1:$B$1191, B707)</f>
        <v>2</v>
      </c>
      <c r="N707" s="8">
        <f>COUNTIF($H$2:$H$1181, H707)</f>
        <v>91</v>
      </c>
    </row>
    <row r="708" spans="1:14">
      <c r="A708" s="32" t="s">
        <v>3297</v>
      </c>
      <c r="B708" s="26" t="s">
        <v>856</v>
      </c>
      <c r="C708" s="26" t="s">
        <v>857</v>
      </c>
      <c r="D708" s="33">
        <v>87.39</v>
      </c>
      <c r="E708" s="33">
        <v>87.39</v>
      </c>
      <c r="F708" s="26">
        <v>1</v>
      </c>
      <c r="G708" s="35">
        <f>E708/F708</f>
        <v>87.39</v>
      </c>
      <c r="H708" s="37" t="s">
        <v>3066</v>
      </c>
      <c r="I708" s="26" t="s">
        <v>3298</v>
      </c>
      <c r="J708" s="26" t="s">
        <v>3299</v>
      </c>
      <c r="K708" s="26" t="s">
        <v>3300</v>
      </c>
      <c r="L708" s="39" t="s">
        <v>22</v>
      </c>
      <c r="M708" s="8">
        <f>COUNTIF($B$1:$B$1191, B708)</f>
        <v>19</v>
      </c>
      <c r="N708" s="8">
        <f>COUNTIF($H$2:$H$1181, H708)</f>
        <v>91</v>
      </c>
    </row>
    <row r="709" spans="1:14">
      <c r="A709" s="29" t="s">
        <v>3301</v>
      </c>
      <c r="B709" s="30" t="s">
        <v>2727</v>
      </c>
      <c r="C709" s="30" t="s">
        <v>1612</v>
      </c>
      <c r="D709" s="31">
        <v>81.92</v>
      </c>
      <c r="E709" s="31">
        <v>81.92</v>
      </c>
      <c r="F709" s="30">
        <v>1</v>
      </c>
      <c r="G709" s="34">
        <f>E709/F709</f>
        <v>81.92</v>
      </c>
      <c r="H709" s="36" t="s">
        <v>3066</v>
      </c>
      <c r="I709" s="30" t="s">
        <v>3302</v>
      </c>
      <c r="J709" s="30" t="s">
        <v>3303</v>
      </c>
      <c r="K709" s="30" t="s">
        <v>3304</v>
      </c>
      <c r="L709" s="38" t="s">
        <v>22</v>
      </c>
      <c r="M709" s="8">
        <f>COUNTIF($B$1:$B$1191, B709)</f>
        <v>2</v>
      </c>
      <c r="N709" s="8">
        <f>COUNTIF($H$2:$H$1181, H709)</f>
        <v>91</v>
      </c>
    </row>
    <row r="710" spans="1:14">
      <c r="A710" s="32" t="s">
        <v>3305</v>
      </c>
      <c r="B710" s="26" t="s">
        <v>3306</v>
      </c>
      <c r="C710" s="26" t="s">
        <v>3306</v>
      </c>
      <c r="D710" s="33">
        <v>65.540000000000006</v>
      </c>
      <c r="E710" s="33">
        <v>65.540000000000006</v>
      </c>
      <c r="F710" s="26">
        <v>1</v>
      </c>
      <c r="G710" s="35">
        <f>E710/F710</f>
        <v>65.540000000000006</v>
      </c>
      <c r="H710" s="37" t="s">
        <v>3066</v>
      </c>
      <c r="I710" s="26" t="s">
        <v>3307</v>
      </c>
      <c r="J710" s="26" t="s">
        <v>3308</v>
      </c>
      <c r="K710" s="26" t="s">
        <v>3309</v>
      </c>
      <c r="L710" s="39" t="s">
        <v>22</v>
      </c>
      <c r="M710" s="8">
        <f>COUNTIF($B$1:$B$1191, B710)</f>
        <v>1</v>
      </c>
      <c r="N710" s="8">
        <f>COUNTIF($H$2:$H$1181, H710)</f>
        <v>91</v>
      </c>
    </row>
    <row r="711" spans="1:14">
      <c r="A711" s="29" t="s">
        <v>3310</v>
      </c>
      <c r="B711" s="30" t="s">
        <v>2552</v>
      </c>
      <c r="C711" s="30" t="s">
        <v>2553</v>
      </c>
      <c r="D711" s="31">
        <v>98.31</v>
      </c>
      <c r="E711" s="31">
        <v>98.31</v>
      </c>
      <c r="F711" s="30">
        <v>1</v>
      </c>
      <c r="G711" s="34">
        <f>E711/F711</f>
        <v>98.31</v>
      </c>
      <c r="H711" s="36" t="s">
        <v>3066</v>
      </c>
      <c r="I711" s="30" t="s">
        <v>3311</v>
      </c>
      <c r="J711" s="30" t="s">
        <v>3312</v>
      </c>
      <c r="K711" s="30" t="s">
        <v>3313</v>
      </c>
      <c r="L711" s="38" t="s">
        <v>22</v>
      </c>
      <c r="M711" s="8">
        <f>COUNTIF($B$1:$B$1191, B711)</f>
        <v>2</v>
      </c>
      <c r="N711" s="8">
        <f>COUNTIF($H$2:$H$1181, H711)</f>
        <v>91</v>
      </c>
    </row>
    <row r="712" spans="1:14">
      <c r="A712" s="32" t="s">
        <v>3314</v>
      </c>
      <c r="B712" s="26" t="s">
        <v>612</v>
      </c>
      <c r="C712" s="26" t="s">
        <v>613</v>
      </c>
      <c r="D712" s="33">
        <v>98.31</v>
      </c>
      <c r="E712" s="33">
        <v>98.31</v>
      </c>
      <c r="F712" s="26">
        <v>1</v>
      </c>
      <c r="G712" s="35">
        <f>E712/F712</f>
        <v>98.31</v>
      </c>
      <c r="H712" s="37" t="s">
        <v>3066</v>
      </c>
      <c r="I712" s="26" t="s">
        <v>3315</v>
      </c>
      <c r="J712" s="26" t="s">
        <v>3316</v>
      </c>
      <c r="K712" s="26" t="s">
        <v>3317</v>
      </c>
      <c r="L712" s="39" t="s">
        <v>22</v>
      </c>
      <c r="M712" s="8">
        <f>COUNTIF($B$1:$B$1191, B712)</f>
        <v>2</v>
      </c>
      <c r="N712" s="8">
        <f>COUNTIF($H$2:$H$1181, H712)</f>
        <v>91</v>
      </c>
    </row>
    <row r="713" spans="1:14">
      <c r="A713" s="29" t="s">
        <v>3318</v>
      </c>
      <c r="B713" s="30" t="s">
        <v>384</v>
      </c>
      <c r="C713" s="30" t="s">
        <v>385</v>
      </c>
      <c r="D713" s="31">
        <v>92.85</v>
      </c>
      <c r="E713" s="31">
        <v>92.85</v>
      </c>
      <c r="F713" s="30">
        <v>1</v>
      </c>
      <c r="G713" s="34">
        <f>E713/F713</f>
        <v>92.85</v>
      </c>
      <c r="H713" s="36" t="s">
        <v>3066</v>
      </c>
      <c r="I713" s="30" t="s">
        <v>3319</v>
      </c>
      <c r="J713" s="30" t="s">
        <v>3320</v>
      </c>
      <c r="K713" s="30" t="s">
        <v>1553</v>
      </c>
      <c r="L713" s="38" t="s">
        <v>153</v>
      </c>
      <c r="M713" s="8">
        <f>COUNTIF($B$1:$B$1191, B713)</f>
        <v>9</v>
      </c>
      <c r="N713" s="8">
        <f>COUNTIF($H$2:$H$1181, H713)</f>
        <v>91</v>
      </c>
    </row>
    <row r="714" spans="1:14">
      <c r="A714" s="32" t="s">
        <v>3321</v>
      </c>
      <c r="B714" s="26" t="s">
        <v>2709</v>
      </c>
      <c r="C714" s="26" t="s">
        <v>2710</v>
      </c>
      <c r="D714" s="33">
        <v>92.85</v>
      </c>
      <c r="E714" s="33">
        <v>92.85</v>
      </c>
      <c r="F714" s="26">
        <v>1</v>
      </c>
      <c r="G714" s="35">
        <f>E714/F714</f>
        <v>92.85</v>
      </c>
      <c r="H714" s="37" t="s">
        <v>3066</v>
      </c>
      <c r="I714" s="26" t="s">
        <v>3322</v>
      </c>
      <c r="J714" s="26" t="s">
        <v>3323</v>
      </c>
      <c r="K714" s="26" t="s">
        <v>3324</v>
      </c>
      <c r="L714" s="39" t="s">
        <v>22</v>
      </c>
      <c r="M714" s="8">
        <f>COUNTIF($B$1:$B$1191, B714)</f>
        <v>3</v>
      </c>
      <c r="N714" s="8">
        <f>COUNTIF($H$2:$H$1181, H714)</f>
        <v>91</v>
      </c>
    </row>
    <row r="715" spans="1:14">
      <c r="A715" s="29" t="s">
        <v>3325</v>
      </c>
      <c r="B715" s="30" t="s">
        <v>384</v>
      </c>
      <c r="C715" s="30" t="s">
        <v>385</v>
      </c>
      <c r="D715" s="31">
        <v>92.3</v>
      </c>
      <c r="E715" s="31">
        <v>92.3</v>
      </c>
      <c r="F715" s="30">
        <v>1</v>
      </c>
      <c r="G715" s="34">
        <f>E715/F715</f>
        <v>92.3</v>
      </c>
      <c r="H715" s="36" t="s">
        <v>3066</v>
      </c>
      <c r="I715" s="30" t="s">
        <v>3326</v>
      </c>
      <c r="J715" s="30" t="s">
        <v>3327</v>
      </c>
      <c r="K715" s="30" t="s">
        <v>3328</v>
      </c>
      <c r="L715" s="38" t="s">
        <v>22</v>
      </c>
      <c r="M715" s="8">
        <f>COUNTIF($B$1:$B$1191, B715)</f>
        <v>9</v>
      </c>
      <c r="N715" s="8">
        <f>COUNTIF($H$2:$H$1181, H715)</f>
        <v>91</v>
      </c>
    </row>
    <row r="716" spans="1:14">
      <c r="A716" s="32" t="s">
        <v>3329</v>
      </c>
      <c r="B716" s="26" t="s">
        <v>384</v>
      </c>
      <c r="C716" s="26" t="s">
        <v>385</v>
      </c>
      <c r="D716" s="33">
        <v>92.3</v>
      </c>
      <c r="E716" s="33">
        <v>92.3</v>
      </c>
      <c r="F716" s="26">
        <v>1</v>
      </c>
      <c r="G716" s="35">
        <f>E716/F716</f>
        <v>92.3</v>
      </c>
      <c r="H716" s="37" t="s">
        <v>3066</v>
      </c>
      <c r="I716" s="26" t="s">
        <v>3330</v>
      </c>
      <c r="J716" s="26" t="s">
        <v>3331</v>
      </c>
      <c r="K716" s="26" t="s">
        <v>3332</v>
      </c>
      <c r="L716" s="39" t="s">
        <v>22</v>
      </c>
      <c r="M716" s="8">
        <f>COUNTIF($B$1:$B$1191, B716)</f>
        <v>9</v>
      </c>
      <c r="N716" s="8">
        <f>COUNTIF($H$2:$H$1181, H716)</f>
        <v>91</v>
      </c>
    </row>
    <row r="717" spans="1:14">
      <c r="A717" s="29" t="s">
        <v>3333</v>
      </c>
      <c r="B717" s="30" t="s">
        <v>432</v>
      </c>
      <c r="C717" s="30" t="s">
        <v>433</v>
      </c>
      <c r="D717" s="31">
        <v>87.39</v>
      </c>
      <c r="E717" s="31">
        <v>87.39</v>
      </c>
      <c r="F717" s="30">
        <v>1</v>
      </c>
      <c r="G717" s="34">
        <f>E717/F717</f>
        <v>87.39</v>
      </c>
      <c r="H717" s="36" t="s">
        <v>3066</v>
      </c>
      <c r="I717" s="30" t="s">
        <v>3334</v>
      </c>
      <c r="J717" s="30" t="s">
        <v>3335</v>
      </c>
      <c r="K717" s="30" t="s">
        <v>3336</v>
      </c>
      <c r="L717" s="38" t="s">
        <v>22</v>
      </c>
      <c r="M717" s="8">
        <f>COUNTIF($B$1:$B$1191, B717)</f>
        <v>10</v>
      </c>
      <c r="N717" s="8">
        <f>COUNTIF($H$2:$H$1181, H717)</f>
        <v>91</v>
      </c>
    </row>
    <row r="718" spans="1:14">
      <c r="A718" s="32" t="s">
        <v>3337</v>
      </c>
      <c r="B718" s="26" t="s">
        <v>856</v>
      </c>
      <c r="C718" s="26" t="s">
        <v>857</v>
      </c>
      <c r="D718" s="33">
        <v>87.39</v>
      </c>
      <c r="E718" s="33">
        <v>87.39</v>
      </c>
      <c r="F718" s="26">
        <v>1</v>
      </c>
      <c r="G718" s="35">
        <f>E718/F718</f>
        <v>87.39</v>
      </c>
      <c r="H718" s="37" t="s">
        <v>3066</v>
      </c>
      <c r="I718" s="26" t="s">
        <v>3338</v>
      </c>
      <c r="J718" s="26" t="s">
        <v>3339</v>
      </c>
      <c r="K718" s="26" t="s">
        <v>3340</v>
      </c>
      <c r="L718" s="39" t="s">
        <v>22</v>
      </c>
      <c r="M718" s="8">
        <f>COUNTIF($B$1:$B$1191, B718)</f>
        <v>19</v>
      </c>
      <c r="N718" s="8">
        <f>COUNTIF($H$2:$H$1181, H718)</f>
        <v>91</v>
      </c>
    </row>
    <row r="719" spans="1:14">
      <c r="A719" s="29" t="s">
        <v>3341</v>
      </c>
      <c r="B719" s="30" t="s">
        <v>37</v>
      </c>
      <c r="C719" s="30" t="s">
        <v>38</v>
      </c>
      <c r="D719" s="31">
        <v>125.62</v>
      </c>
      <c r="E719" s="31">
        <v>125.62</v>
      </c>
      <c r="F719" s="30">
        <v>1</v>
      </c>
      <c r="G719" s="34">
        <f>E719/F719</f>
        <v>125.62</v>
      </c>
      <c r="H719" s="36" t="s">
        <v>3066</v>
      </c>
      <c r="I719" s="30" t="s">
        <v>3342</v>
      </c>
      <c r="J719" s="30" t="s">
        <v>3343</v>
      </c>
      <c r="K719" s="30" t="s">
        <v>3344</v>
      </c>
      <c r="L719" s="38" t="s">
        <v>22</v>
      </c>
      <c r="M719" s="8">
        <f>COUNTIF($B$1:$B$1191, B719)</f>
        <v>11</v>
      </c>
      <c r="N719" s="8">
        <f>COUNTIF($H$2:$H$1181, H719)</f>
        <v>91</v>
      </c>
    </row>
    <row r="720" spans="1:14">
      <c r="A720" s="32" t="s">
        <v>3345</v>
      </c>
      <c r="B720" s="26" t="s">
        <v>2879</v>
      </c>
      <c r="C720" s="26" t="s">
        <v>2880</v>
      </c>
      <c r="D720" s="33">
        <v>65.540000000000006</v>
      </c>
      <c r="E720" s="33">
        <v>65.540000000000006</v>
      </c>
      <c r="F720" s="26">
        <v>1</v>
      </c>
      <c r="G720" s="35">
        <f>E720/F720</f>
        <v>65.540000000000006</v>
      </c>
      <c r="H720" s="37" t="s">
        <v>3066</v>
      </c>
      <c r="I720" s="26" t="s">
        <v>3346</v>
      </c>
      <c r="J720" s="26" t="s">
        <v>3347</v>
      </c>
      <c r="K720" s="26" t="s">
        <v>3348</v>
      </c>
      <c r="L720" s="39" t="s">
        <v>22</v>
      </c>
      <c r="M720" s="8">
        <f>COUNTIF($B$1:$B$1191, B720)</f>
        <v>2</v>
      </c>
      <c r="N720" s="8">
        <f>COUNTIF($H$2:$H$1181, H720)</f>
        <v>91</v>
      </c>
    </row>
    <row r="721" spans="1:14">
      <c r="A721" s="29" t="s">
        <v>3349</v>
      </c>
      <c r="B721" s="30" t="s">
        <v>37</v>
      </c>
      <c r="C721" s="30" t="s">
        <v>38</v>
      </c>
      <c r="D721" s="31">
        <v>136.54</v>
      </c>
      <c r="E721" s="31">
        <v>136.54</v>
      </c>
      <c r="F721" s="30">
        <v>1</v>
      </c>
      <c r="G721" s="34">
        <f>E721/F721</f>
        <v>136.54</v>
      </c>
      <c r="H721" s="36" t="s">
        <v>3066</v>
      </c>
      <c r="I721" s="30" t="s">
        <v>3350</v>
      </c>
      <c r="J721" s="30" t="s">
        <v>3351</v>
      </c>
      <c r="K721" s="30" t="s">
        <v>3352</v>
      </c>
      <c r="L721" s="38" t="s">
        <v>22</v>
      </c>
      <c r="M721" s="8">
        <f>COUNTIF($B$1:$B$1191, B721)</f>
        <v>11</v>
      </c>
      <c r="N721" s="8">
        <f>COUNTIF($H$2:$H$1181, H721)</f>
        <v>91</v>
      </c>
    </row>
    <row r="722" spans="1:14">
      <c r="A722" s="32" t="s">
        <v>3353</v>
      </c>
      <c r="B722" s="26" t="s">
        <v>2546</v>
      </c>
      <c r="C722" s="26" t="s">
        <v>2547</v>
      </c>
      <c r="D722" s="33">
        <v>155</v>
      </c>
      <c r="E722" s="33">
        <v>155</v>
      </c>
      <c r="F722" s="26">
        <v>1</v>
      </c>
      <c r="G722" s="35">
        <f>E722/F722</f>
        <v>155</v>
      </c>
      <c r="H722" s="37" t="s">
        <v>3066</v>
      </c>
      <c r="I722" s="26" t="s">
        <v>3354</v>
      </c>
      <c r="J722" s="26" t="s">
        <v>3355</v>
      </c>
      <c r="K722" s="26" t="s">
        <v>3356</v>
      </c>
      <c r="L722" s="39" t="s">
        <v>22</v>
      </c>
      <c r="M722" s="8">
        <f>COUNTIF($B$1:$B$1191, B722)</f>
        <v>2</v>
      </c>
      <c r="N722" s="8">
        <f>COUNTIF($H$2:$H$1181, H722)</f>
        <v>91</v>
      </c>
    </row>
    <row r="723" spans="1:14">
      <c r="A723" s="29" t="s">
        <v>3357</v>
      </c>
      <c r="B723" s="30" t="s">
        <v>2709</v>
      </c>
      <c r="C723" s="30" t="s">
        <v>2710</v>
      </c>
      <c r="D723" s="31">
        <v>103.77</v>
      </c>
      <c r="E723" s="31">
        <v>103.77</v>
      </c>
      <c r="F723" s="30">
        <v>1</v>
      </c>
      <c r="G723" s="34">
        <f>E723/F723</f>
        <v>103.77</v>
      </c>
      <c r="H723" s="36" t="s">
        <v>3066</v>
      </c>
      <c r="I723" s="30" t="s">
        <v>3358</v>
      </c>
      <c r="J723" s="30" t="s">
        <v>3359</v>
      </c>
      <c r="K723" s="30" t="s">
        <v>3360</v>
      </c>
      <c r="L723" s="38" t="s">
        <v>22</v>
      </c>
      <c r="M723" s="8">
        <f>COUNTIF($B$1:$B$1191, B723)</f>
        <v>3</v>
      </c>
      <c r="N723" s="8">
        <f>COUNTIF($H$2:$H$1181, H723)</f>
        <v>91</v>
      </c>
    </row>
    <row r="724" spans="1:14">
      <c r="A724" s="32" t="s">
        <v>3361</v>
      </c>
      <c r="B724" s="26" t="s">
        <v>1227</v>
      </c>
      <c r="C724" s="26" t="s">
        <v>1228</v>
      </c>
      <c r="D724" s="33">
        <v>54.62</v>
      </c>
      <c r="E724" s="33">
        <v>54.62</v>
      </c>
      <c r="F724" s="26">
        <v>1</v>
      </c>
      <c r="G724" s="35">
        <f>E724/F724</f>
        <v>54.62</v>
      </c>
      <c r="H724" s="37" t="s">
        <v>3066</v>
      </c>
      <c r="I724" s="26" t="s">
        <v>3362</v>
      </c>
      <c r="J724" s="26" t="s">
        <v>3363</v>
      </c>
      <c r="K724" s="26" t="s">
        <v>3364</v>
      </c>
      <c r="L724" s="39" t="s">
        <v>22</v>
      </c>
      <c r="M724" s="8">
        <f>COUNTIF($B$1:$B$1191, B724)</f>
        <v>5</v>
      </c>
      <c r="N724" s="8">
        <f>COUNTIF($H$2:$H$1181, H724)</f>
        <v>91</v>
      </c>
    </row>
    <row r="725" spans="1:14">
      <c r="A725" s="29" t="s">
        <v>3365</v>
      </c>
      <c r="B725" s="30" t="s">
        <v>664</v>
      </c>
      <c r="C725" s="30" t="s">
        <v>665</v>
      </c>
      <c r="D725" s="31">
        <v>49.15</v>
      </c>
      <c r="E725" s="31">
        <v>49.15</v>
      </c>
      <c r="F725" s="30">
        <v>1</v>
      </c>
      <c r="G725" s="34">
        <f>E725/F725</f>
        <v>49.15</v>
      </c>
      <c r="H725" s="36" t="s">
        <v>3066</v>
      </c>
      <c r="I725" s="30" t="s">
        <v>3366</v>
      </c>
      <c r="J725" s="30" t="s">
        <v>3367</v>
      </c>
      <c r="K725" s="30" t="s">
        <v>3368</v>
      </c>
      <c r="L725" s="38" t="s">
        <v>22</v>
      </c>
      <c r="M725" s="8">
        <f>COUNTIF($B$1:$B$1191, B725)</f>
        <v>2</v>
      </c>
      <c r="N725" s="8">
        <f>COUNTIF($H$2:$H$1181, H725)</f>
        <v>91</v>
      </c>
    </row>
    <row r="726" spans="1:14">
      <c r="A726" s="32" t="s">
        <v>3369</v>
      </c>
      <c r="B726" s="26" t="s">
        <v>1268</v>
      </c>
      <c r="C726" s="26" t="s">
        <v>1269</v>
      </c>
      <c r="D726" s="33">
        <v>136.54</v>
      </c>
      <c r="E726" s="33">
        <v>136.54</v>
      </c>
      <c r="F726" s="26">
        <v>1</v>
      </c>
      <c r="G726" s="35">
        <f>E726/F726</f>
        <v>136.54</v>
      </c>
      <c r="H726" s="37" t="s">
        <v>3066</v>
      </c>
      <c r="I726" s="26" t="s">
        <v>3370</v>
      </c>
      <c r="J726" s="26" t="s">
        <v>3371</v>
      </c>
      <c r="K726" s="26" t="s">
        <v>3372</v>
      </c>
      <c r="L726" s="39" t="s">
        <v>22</v>
      </c>
      <c r="M726" s="8">
        <f>COUNTIF($B$1:$B$1191, B726)</f>
        <v>5</v>
      </c>
      <c r="N726" s="8">
        <f>COUNTIF($H$2:$H$1181, H726)</f>
        <v>91</v>
      </c>
    </row>
    <row r="727" spans="1:14">
      <c r="A727" s="29" t="s">
        <v>3373</v>
      </c>
      <c r="B727" s="30" t="s">
        <v>368</v>
      </c>
      <c r="C727" s="30" t="s">
        <v>50</v>
      </c>
      <c r="D727" s="31">
        <v>92.85</v>
      </c>
      <c r="E727" s="31">
        <v>92.85</v>
      </c>
      <c r="F727" s="30">
        <v>1</v>
      </c>
      <c r="G727" s="34">
        <f>E727/F727</f>
        <v>92.85</v>
      </c>
      <c r="H727" s="36" t="s">
        <v>3066</v>
      </c>
      <c r="I727" s="30" t="s">
        <v>3374</v>
      </c>
      <c r="J727" s="30" t="s">
        <v>3375</v>
      </c>
      <c r="K727" s="30" t="s">
        <v>3376</v>
      </c>
      <c r="L727" s="38" t="s">
        <v>22</v>
      </c>
      <c r="M727" s="8">
        <f>COUNTIF($B$1:$B$1191, B727)</f>
        <v>9</v>
      </c>
      <c r="N727" s="8">
        <f>COUNTIF($H$2:$H$1181, H727)</f>
        <v>91</v>
      </c>
    </row>
    <row r="728" spans="1:14">
      <c r="A728" s="32" t="s">
        <v>3377</v>
      </c>
      <c r="B728" s="26" t="s">
        <v>1053</v>
      </c>
      <c r="C728" s="26" t="s">
        <v>506</v>
      </c>
      <c r="D728" s="33">
        <v>136.54</v>
      </c>
      <c r="E728" s="33">
        <v>136.54</v>
      </c>
      <c r="F728" s="26">
        <v>1</v>
      </c>
      <c r="G728" s="35">
        <f>E728/F728</f>
        <v>136.54</v>
      </c>
      <c r="H728" s="37" t="s">
        <v>3066</v>
      </c>
      <c r="I728" s="26" t="s">
        <v>3378</v>
      </c>
      <c r="J728" s="26" t="s">
        <v>3379</v>
      </c>
      <c r="K728" s="26" t="s">
        <v>3380</v>
      </c>
      <c r="L728" s="39" t="s">
        <v>22</v>
      </c>
      <c r="M728" s="8">
        <f>COUNTIF($B$1:$B$1191, B728)</f>
        <v>20</v>
      </c>
      <c r="N728" s="8">
        <f>COUNTIF($H$2:$H$1181, H728)</f>
        <v>91</v>
      </c>
    </row>
    <row r="729" spans="1:14">
      <c r="A729" s="29" t="s">
        <v>3381</v>
      </c>
      <c r="B729" s="30" t="s">
        <v>222</v>
      </c>
      <c r="C729" s="30" t="s">
        <v>223</v>
      </c>
      <c r="D729" s="31">
        <v>131.08000000000001</v>
      </c>
      <c r="E729" s="31">
        <v>131.08000000000001</v>
      </c>
      <c r="F729" s="30">
        <v>1</v>
      </c>
      <c r="G729" s="34">
        <f>E729/F729</f>
        <v>131.08000000000001</v>
      </c>
      <c r="H729" s="36" t="s">
        <v>3066</v>
      </c>
      <c r="I729" s="30" t="s">
        <v>3382</v>
      </c>
      <c r="J729" s="30" t="s">
        <v>3383</v>
      </c>
      <c r="K729" s="30" t="s">
        <v>3384</v>
      </c>
      <c r="L729" s="38" t="s">
        <v>22</v>
      </c>
      <c r="M729" s="8">
        <f>COUNTIF($B$1:$B$1191, B729)</f>
        <v>11</v>
      </c>
      <c r="N729" s="8">
        <f>COUNTIF($H$2:$H$1181, H729)</f>
        <v>91</v>
      </c>
    </row>
    <row r="730" spans="1:14">
      <c r="A730" s="32" t="s">
        <v>3385</v>
      </c>
      <c r="B730" s="26" t="s">
        <v>3386</v>
      </c>
      <c r="C730" s="26" t="s">
        <v>3387</v>
      </c>
      <c r="D730" s="33">
        <v>103.77</v>
      </c>
      <c r="E730" s="33">
        <v>103.77</v>
      </c>
      <c r="F730" s="26">
        <v>1</v>
      </c>
      <c r="G730" s="35">
        <f>E730/F730</f>
        <v>103.77</v>
      </c>
      <c r="H730" s="37" t="s">
        <v>3066</v>
      </c>
      <c r="I730" s="26" t="s">
        <v>3388</v>
      </c>
      <c r="J730" s="26" t="s">
        <v>3389</v>
      </c>
      <c r="K730" s="26" t="s">
        <v>3390</v>
      </c>
      <c r="L730" s="39" t="s">
        <v>22</v>
      </c>
      <c r="M730" s="8">
        <f>COUNTIF($B$1:$B$1191, B730)</f>
        <v>1</v>
      </c>
      <c r="N730" s="8">
        <f>COUNTIF($H$2:$H$1181, H730)</f>
        <v>91</v>
      </c>
    </row>
    <row r="731" spans="1:14">
      <c r="A731" s="29" t="s">
        <v>3391</v>
      </c>
      <c r="B731" s="30" t="s">
        <v>3209</v>
      </c>
      <c r="C731" s="30" t="s">
        <v>3210</v>
      </c>
      <c r="D731" s="31">
        <v>103.77</v>
      </c>
      <c r="E731" s="31">
        <v>103.77</v>
      </c>
      <c r="F731" s="30">
        <v>1</v>
      </c>
      <c r="G731" s="34">
        <f>E731/F731</f>
        <v>103.77</v>
      </c>
      <c r="H731" s="36" t="s">
        <v>3066</v>
      </c>
      <c r="I731" s="30" t="s">
        <v>3392</v>
      </c>
      <c r="J731" s="30" t="s">
        <v>3393</v>
      </c>
      <c r="K731" s="30" t="s">
        <v>3394</v>
      </c>
      <c r="L731" s="38" t="s">
        <v>22</v>
      </c>
      <c r="M731" s="8">
        <f>COUNTIF($B$1:$B$1191, B731)</f>
        <v>5</v>
      </c>
      <c r="N731" s="8">
        <f>COUNTIF($H$2:$H$1181, H731)</f>
        <v>91</v>
      </c>
    </row>
    <row r="732" spans="1:14">
      <c r="A732" s="32" t="s">
        <v>3395</v>
      </c>
      <c r="B732" s="26" t="s">
        <v>3396</v>
      </c>
      <c r="C732" s="26" t="s">
        <v>3397</v>
      </c>
      <c r="D732" s="33">
        <v>103.77</v>
      </c>
      <c r="E732" s="33">
        <v>103.77</v>
      </c>
      <c r="F732" s="26">
        <v>1</v>
      </c>
      <c r="G732" s="35">
        <f>E732/F732</f>
        <v>103.77</v>
      </c>
      <c r="H732" s="37" t="s">
        <v>3066</v>
      </c>
      <c r="I732" s="26" t="s">
        <v>3398</v>
      </c>
      <c r="J732" s="26" t="s">
        <v>3399</v>
      </c>
      <c r="K732" s="26" t="s">
        <v>3400</v>
      </c>
      <c r="L732" s="39" t="s">
        <v>22</v>
      </c>
      <c r="M732" s="8">
        <f>COUNTIF($B$1:$B$1191, B732)</f>
        <v>1</v>
      </c>
      <c r="N732" s="8">
        <f>COUNTIF($H$2:$H$1181, H732)</f>
        <v>91</v>
      </c>
    </row>
    <row r="733" spans="1:14">
      <c r="A733" s="29" t="s">
        <v>3401</v>
      </c>
      <c r="B733" s="30" t="s">
        <v>1495</v>
      </c>
      <c r="C733" s="30" t="s">
        <v>1496</v>
      </c>
      <c r="D733" s="31">
        <v>92.85</v>
      </c>
      <c r="E733" s="31">
        <v>92.85</v>
      </c>
      <c r="F733" s="30">
        <v>1</v>
      </c>
      <c r="G733" s="34">
        <f>E733/F733</f>
        <v>92.85</v>
      </c>
      <c r="H733" s="36" t="s">
        <v>3066</v>
      </c>
      <c r="I733" s="30" t="s">
        <v>3402</v>
      </c>
      <c r="J733" s="30" t="s">
        <v>3403</v>
      </c>
      <c r="K733" s="30" t="s">
        <v>3404</v>
      </c>
      <c r="L733" s="38" t="s">
        <v>22</v>
      </c>
      <c r="M733" s="8">
        <f>COUNTIF($B$1:$B$1191, B733)</f>
        <v>2</v>
      </c>
      <c r="N733" s="8">
        <f>COUNTIF($H$2:$H$1181, H733)</f>
        <v>91</v>
      </c>
    </row>
    <row r="734" spans="1:14">
      <c r="A734" s="32" t="s">
        <v>3405</v>
      </c>
      <c r="B734" s="26" t="s">
        <v>856</v>
      </c>
      <c r="C734" s="26" t="s">
        <v>857</v>
      </c>
      <c r="D734" s="33">
        <v>87.39</v>
      </c>
      <c r="E734" s="33">
        <v>87.39</v>
      </c>
      <c r="F734" s="26">
        <v>1</v>
      </c>
      <c r="G734" s="35">
        <f>E734/F734</f>
        <v>87.39</v>
      </c>
      <c r="H734" s="37" t="s">
        <v>3066</v>
      </c>
      <c r="I734" s="26" t="s">
        <v>3406</v>
      </c>
      <c r="J734" s="26" t="s">
        <v>3407</v>
      </c>
      <c r="K734" s="26" t="s">
        <v>3408</v>
      </c>
      <c r="L734" s="39" t="s">
        <v>22</v>
      </c>
      <c r="M734" s="8">
        <f>COUNTIF($B$1:$B$1191, B734)</f>
        <v>19</v>
      </c>
      <c r="N734" s="8">
        <f>COUNTIF($H$2:$H$1181, H734)</f>
        <v>91</v>
      </c>
    </row>
    <row r="735" spans="1:14">
      <c r="A735" s="29" t="s">
        <v>3409</v>
      </c>
      <c r="B735" s="30" t="s">
        <v>2072</v>
      </c>
      <c r="C735" s="30" t="s">
        <v>2073</v>
      </c>
      <c r="D735" s="31">
        <v>76.459999999999994</v>
      </c>
      <c r="E735" s="31">
        <v>76.459999999999994</v>
      </c>
      <c r="F735" s="30">
        <v>1</v>
      </c>
      <c r="G735" s="34">
        <f>E735/F735</f>
        <v>76.459999999999994</v>
      </c>
      <c r="H735" s="36" t="s">
        <v>3066</v>
      </c>
      <c r="I735" s="30" t="s">
        <v>3410</v>
      </c>
      <c r="J735" s="30" t="s">
        <v>3411</v>
      </c>
      <c r="K735" s="30" t="s">
        <v>3412</v>
      </c>
      <c r="L735" s="38" t="s">
        <v>22</v>
      </c>
      <c r="M735" s="8">
        <f>COUNTIF($B$1:$B$1191, B735)</f>
        <v>2</v>
      </c>
      <c r="N735" s="8">
        <f>COUNTIF($H$2:$H$1181, H735)</f>
        <v>91</v>
      </c>
    </row>
    <row r="736" spans="1:14">
      <c r="A736" s="32" t="s">
        <v>3413</v>
      </c>
      <c r="B736" s="26" t="s">
        <v>2602</v>
      </c>
      <c r="C736" s="26" t="s">
        <v>2603</v>
      </c>
      <c r="D736" s="33">
        <v>76.459999999999994</v>
      </c>
      <c r="E736" s="33">
        <v>76.459999999999994</v>
      </c>
      <c r="F736" s="26">
        <v>1</v>
      </c>
      <c r="G736" s="35">
        <f>E736/F736</f>
        <v>76.459999999999994</v>
      </c>
      <c r="H736" s="37" t="s">
        <v>3066</v>
      </c>
      <c r="I736" s="26" t="s">
        <v>3414</v>
      </c>
      <c r="J736" s="26" t="s">
        <v>3415</v>
      </c>
      <c r="K736" s="26" t="s">
        <v>3416</v>
      </c>
      <c r="L736" s="39" t="s">
        <v>22</v>
      </c>
      <c r="M736" s="8">
        <f>COUNTIF($B$1:$B$1191, B736)</f>
        <v>2</v>
      </c>
      <c r="N736" s="8">
        <f>COUNTIF($H$2:$H$1181, H736)</f>
        <v>91</v>
      </c>
    </row>
    <row r="737" spans="1:14">
      <c r="A737" s="29" t="s">
        <v>3417</v>
      </c>
      <c r="B737" s="30" t="s">
        <v>1827</v>
      </c>
      <c r="C737" s="30" t="s">
        <v>1828</v>
      </c>
      <c r="D737" s="31">
        <v>114.69</v>
      </c>
      <c r="E737" s="31">
        <v>114.69</v>
      </c>
      <c r="F737" s="30">
        <v>1</v>
      </c>
      <c r="G737" s="34">
        <f>E737/F737</f>
        <v>114.69</v>
      </c>
      <c r="H737" s="36" t="s">
        <v>3066</v>
      </c>
      <c r="I737" s="30" t="s">
        <v>3418</v>
      </c>
      <c r="J737" s="30" t="s">
        <v>3419</v>
      </c>
      <c r="K737" s="30" t="s">
        <v>3420</v>
      </c>
      <c r="L737" s="38" t="s">
        <v>22</v>
      </c>
      <c r="M737" s="8">
        <f>COUNTIF($B$1:$B$1191, B737)</f>
        <v>5</v>
      </c>
      <c r="N737" s="8">
        <f>COUNTIF($H$2:$H$1181, H737)</f>
        <v>91</v>
      </c>
    </row>
    <row r="738" spans="1:14">
      <c r="A738" s="32" t="s">
        <v>3421</v>
      </c>
      <c r="B738" s="26" t="s">
        <v>65</v>
      </c>
      <c r="C738" s="26" t="s">
        <v>66</v>
      </c>
      <c r="D738" s="33">
        <v>81.92</v>
      </c>
      <c r="E738" s="33">
        <v>81.92</v>
      </c>
      <c r="F738" s="26">
        <v>1</v>
      </c>
      <c r="G738" s="35">
        <f>E738/F738</f>
        <v>81.92</v>
      </c>
      <c r="H738" s="37" t="s">
        <v>3066</v>
      </c>
      <c r="I738" s="26" t="s">
        <v>3422</v>
      </c>
      <c r="J738" s="26" t="s">
        <v>3423</v>
      </c>
      <c r="K738" s="26" t="s">
        <v>3424</v>
      </c>
      <c r="L738" s="39" t="s">
        <v>22</v>
      </c>
      <c r="M738" s="8">
        <f>COUNTIF($B$1:$B$1191, B738)</f>
        <v>9</v>
      </c>
      <c r="N738" s="8">
        <f>COUNTIF($H$2:$H$1181, H738)</f>
        <v>91</v>
      </c>
    </row>
    <row r="739" spans="1:14">
      <c r="A739" s="29" t="s">
        <v>3425</v>
      </c>
      <c r="B739" s="30" t="s">
        <v>1482</v>
      </c>
      <c r="C739" s="30" t="s">
        <v>211</v>
      </c>
      <c r="D739" s="31">
        <v>128.78</v>
      </c>
      <c r="E739" s="31">
        <v>128.78</v>
      </c>
      <c r="F739" s="30">
        <v>1</v>
      </c>
      <c r="G739" s="34">
        <f>E739/F739</f>
        <v>128.78</v>
      </c>
      <c r="H739" s="36" t="s">
        <v>3066</v>
      </c>
      <c r="I739" s="30" t="s">
        <v>3426</v>
      </c>
      <c r="J739" s="30" t="s">
        <v>3427</v>
      </c>
      <c r="K739" s="30" t="s">
        <v>3428</v>
      </c>
      <c r="L739" s="38" t="s">
        <v>22</v>
      </c>
      <c r="M739" s="8">
        <f>COUNTIF($B$1:$B$1191, B739)</f>
        <v>4</v>
      </c>
      <c r="N739" s="8">
        <f>COUNTIF($H$2:$H$1181, H739)</f>
        <v>91</v>
      </c>
    </row>
    <row r="740" spans="1:14">
      <c r="A740" s="32" t="s">
        <v>3429</v>
      </c>
      <c r="B740" s="26" t="s">
        <v>65</v>
      </c>
      <c r="C740" s="26" t="s">
        <v>66</v>
      </c>
      <c r="D740" s="33">
        <v>109.23</v>
      </c>
      <c r="E740" s="33">
        <v>109.23</v>
      </c>
      <c r="F740" s="26">
        <v>1</v>
      </c>
      <c r="G740" s="35">
        <f>E740/F740</f>
        <v>109.23</v>
      </c>
      <c r="H740" s="37" t="s">
        <v>3066</v>
      </c>
      <c r="I740" s="26" t="s">
        <v>3430</v>
      </c>
      <c r="J740" s="26" t="s">
        <v>3431</v>
      </c>
      <c r="K740" s="26" t="s">
        <v>3432</v>
      </c>
      <c r="L740" s="39" t="s">
        <v>22</v>
      </c>
      <c r="M740" s="8">
        <f>COUNTIF($B$1:$B$1191, B740)</f>
        <v>9</v>
      </c>
      <c r="N740" s="8">
        <f>COUNTIF($H$2:$H$1181, H740)</f>
        <v>91</v>
      </c>
    </row>
    <row r="741" spans="1:14">
      <c r="A741" s="29" t="s">
        <v>3433</v>
      </c>
      <c r="B741" s="30" t="s">
        <v>1423</v>
      </c>
      <c r="C741" s="30" t="s">
        <v>1424</v>
      </c>
      <c r="D741" s="31">
        <v>98.31</v>
      </c>
      <c r="E741" s="31">
        <v>98.31</v>
      </c>
      <c r="F741" s="30">
        <v>1</v>
      </c>
      <c r="G741" s="34">
        <f>E741/F741</f>
        <v>98.31</v>
      </c>
      <c r="H741" s="36" t="s">
        <v>3066</v>
      </c>
      <c r="I741" s="30" t="s">
        <v>3434</v>
      </c>
      <c r="J741" s="30" t="s">
        <v>3435</v>
      </c>
      <c r="K741" s="30" t="s">
        <v>3436</v>
      </c>
      <c r="L741" s="38" t="s">
        <v>22</v>
      </c>
      <c r="M741" s="8">
        <f>COUNTIF($B$1:$B$1191, B741)</f>
        <v>4</v>
      </c>
      <c r="N741" s="8">
        <f>COUNTIF($H$2:$H$1181, H741)</f>
        <v>91</v>
      </c>
    </row>
    <row r="742" spans="1:14">
      <c r="A742" s="32" t="s">
        <v>3437</v>
      </c>
      <c r="B742" s="26" t="s">
        <v>856</v>
      </c>
      <c r="C742" s="26" t="s">
        <v>857</v>
      </c>
      <c r="D742" s="33">
        <v>87.39</v>
      </c>
      <c r="E742" s="33">
        <v>87.39</v>
      </c>
      <c r="F742" s="26">
        <v>1</v>
      </c>
      <c r="G742" s="35">
        <f>E742/F742</f>
        <v>87.39</v>
      </c>
      <c r="H742" s="37" t="s">
        <v>3066</v>
      </c>
      <c r="I742" s="26" t="s">
        <v>3438</v>
      </c>
      <c r="J742" s="26" t="s">
        <v>3439</v>
      </c>
      <c r="K742" s="26" t="s">
        <v>3440</v>
      </c>
      <c r="L742" s="39" t="s">
        <v>22</v>
      </c>
      <c r="M742" s="8">
        <f>COUNTIF($B$1:$B$1191, B742)</f>
        <v>19</v>
      </c>
      <c r="N742" s="8">
        <f>COUNTIF($H$2:$H$1181, H742)</f>
        <v>91</v>
      </c>
    </row>
    <row r="743" spans="1:14">
      <c r="A743" s="29" t="s">
        <v>3441</v>
      </c>
      <c r="B743" s="30" t="s">
        <v>222</v>
      </c>
      <c r="C743" s="30" t="s">
        <v>223</v>
      </c>
      <c r="D743" s="31">
        <v>131.08000000000001</v>
      </c>
      <c r="E743" s="31">
        <v>131.08000000000001</v>
      </c>
      <c r="F743" s="30">
        <v>1</v>
      </c>
      <c r="G743" s="34">
        <f>E743/F743</f>
        <v>131.08000000000001</v>
      </c>
      <c r="H743" s="36" t="s">
        <v>3066</v>
      </c>
      <c r="I743" s="30" t="s">
        <v>3442</v>
      </c>
      <c r="J743" s="30" t="s">
        <v>3443</v>
      </c>
      <c r="K743" s="30" t="s">
        <v>3444</v>
      </c>
      <c r="L743" s="38" t="s">
        <v>22</v>
      </c>
      <c r="M743" s="8">
        <f>COUNTIF($B$1:$B$1191, B743)</f>
        <v>11</v>
      </c>
      <c r="N743" s="8">
        <f>COUNTIF($H$2:$H$1181, H743)</f>
        <v>91</v>
      </c>
    </row>
    <row r="744" spans="1:14">
      <c r="A744" s="32" t="s">
        <v>3445</v>
      </c>
      <c r="B744" s="26" t="s">
        <v>222</v>
      </c>
      <c r="C744" s="26" t="s">
        <v>223</v>
      </c>
      <c r="D744" s="33">
        <v>131.08000000000001</v>
      </c>
      <c r="E744" s="33">
        <v>131.08000000000001</v>
      </c>
      <c r="F744" s="26">
        <v>1</v>
      </c>
      <c r="G744" s="35">
        <f>E744/F744</f>
        <v>131.08000000000001</v>
      </c>
      <c r="H744" s="37" t="s">
        <v>3066</v>
      </c>
      <c r="I744" s="26" t="s">
        <v>3446</v>
      </c>
      <c r="J744" s="26" t="s">
        <v>3447</v>
      </c>
      <c r="K744" s="26" t="s">
        <v>3448</v>
      </c>
      <c r="L744" s="39" t="s">
        <v>22</v>
      </c>
      <c r="M744" s="8">
        <f>COUNTIF($B$1:$B$1191, B744)</f>
        <v>11</v>
      </c>
      <c r="N744" s="8">
        <f>COUNTIF($H$2:$H$1181, H744)</f>
        <v>91</v>
      </c>
    </row>
    <row r="745" spans="1:14">
      <c r="A745" s="29" t="s">
        <v>3449</v>
      </c>
      <c r="B745" s="30" t="s">
        <v>3450</v>
      </c>
      <c r="C745" s="30" t="s">
        <v>3451</v>
      </c>
      <c r="D745" s="31">
        <v>103.77</v>
      </c>
      <c r="E745" s="31">
        <v>103.77</v>
      </c>
      <c r="F745" s="30">
        <v>1</v>
      </c>
      <c r="G745" s="34">
        <f>E745/F745</f>
        <v>103.77</v>
      </c>
      <c r="H745" s="36" t="s">
        <v>3066</v>
      </c>
      <c r="I745" s="30" t="s">
        <v>3452</v>
      </c>
      <c r="J745" s="30" t="s">
        <v>3453</v>
      </c>
      <c r="K745" s="30" t="s">
        <v>3454</v>
      </c>
      <c r="L745" s="38" t="s">
        <v>22</v>
      </c>
      <c r="M745" s="8">
        <f>COUNTIF($B$1:$B$1191, B745)</f>
        <v>1</v>
      </c>
      <c r="N745" s="8">
        <f>COUNTIF($H$2:$H$1181, H745)</f>
        <v>91</v>
      </c>
    </row>
    <row r="746" spans="1:14">
      <c r="A746" s="32" t="s">
        <v>3455</v>
      </c>
      <c r="B746" s="26" t="s">
        <v>3209</v>
      </c>
      <c r="C746" s="26" t="s">
        <v>3210</v>
      </c>
      <c r="D746" s="33">
        <v>103.77</v>
      </c>
      <c r="E746" s="33">
        <v>103.77</v>
      </c>
      <c r="F746" s="26">
        <v>1</v>
      </c>
      <c r="G746" s="35">
        <f>E746/F746</f>
        <v>103.77</v>
      </c>
      <c r="H746" s="37" t="s">
        <v>3066</v>
      </c>
      <c r="I746" s="26" t="s">
        <v>3456</v>
      </c>
      <c r="J746" s="26" t="s">
        <v>3457</v>
      </c>
      <c r="K746" s="26" t="s">
        <v>3458</v>
      </c>
      <c r="L746" s="39" t="s">
        <v>22</v>
      </c>
      <c r="M746" s="8">
        <f>COUNTIF($B$1:$B$1191, B746)</f>
        <v>5</v>
      </c>
      <c r="N746" s="8">
        <f>COUNTIF($H$2:$H$1181, H746)</f>
        <v>91</v>
      </c>
    </row>
    <row r="747" spans="1:14">
      <c r="A747" s="29" t="s">
        <v>3459</v>
      </c>
      <c r="B747" s="30" t="s">
        <v>368</v>
      </c>
      <c r="C747" s="30" t="s">
        <v>50</v>
      </c>
      <c r="D747" s="31">
        <v>92.85</v>
      </c>
      <c r="E747" s="31">
        <v>92.85</v>
      </c>
      <c r="F747" s="30">
        <v>1</v>
      </c>
      <c r="G747" s="34">
        <f>E747/F747</f>
        <v>92.85</v>
      </c>
      <c r="H747" s="36" t="s">
        <v>3460</v>
      </c>
      <c r="I747" s="30" t="s">
        <v>3461</v>
      </c>
      <c r="J747" s="30" t="s">
        <v>3462</v>
      </c>
      <c r="K747" s="30" t="s">
        <v>3463</v>
      </c>
      <c r="L747" s="38" t="s">
        <v>22</v>
      </c>
      <c r="M747" s="8">
        <f>COUNTIF($B$1:$B$1191, B747)</f>
        <v>9</v>
      </c>
      <c r="N747" s="8">
        <f>COUNTIF($H$2:$H$1181, H747)</f>
        <v>34</v>
      </c>
    </row>
    <row r="748" spans="1:14">
      <c r="A748" s="32" t="s">
        <v>3464</v>
      </c>
      <c r="B748" s="26" t="s">
        <v>606</v>
      </c>
      <c r="C748" s="26" t="s">
        <v>607</v>
      </c>
      <c r="D748" s="33">
        <v>114.69</v>
      </c>
      <c r="E748" s="33">
        <v>114.69</v>
      </c>
      <c r="F748" s="26">
        <v>1</v>
      </c>
      <c r="G748" s="35">
        <f>E748/F748</f>
        <v>114.69</v>
      </c>
      <c r="H748" s="37" t="s">
        <v>3460</v>
      </c>
      <c r="I748" s="26" t="s">
        <v>3465</v>
      </c>
      <c r="J748" s="26" t="s">
        <v>3466</v>
      </c>
      <c r="K748" s="26" t="s">
        <v>3467</v>
      </c>
      <c r="L748" s="39" t="s">
        <v>22</v>
      </c>
      <c r="M748" s="8">
        <f>COUNTIF($B$1:$B$1191, B748)</f>
        <v>6</v>
      </c>
      <c r="N748" s="8">
        <f>COUNTIF($H$2:$H$1181, H748)</f>
        <v>34</v>
      </c>
    </row>
    <row r="749" spans="1:14">
      <c r="A749" s="29" t="s">
        <v>3468</v>
      </c>
      <c r="B749" s="30" t="s">
        <v>49</v>
      </c>
      <c r="C749" s="30" t="s">
        <v>50</v>
      </c>
      <c r="D749" s="31">
        <v>103.77</v>
      </c>
      <c r="E749" s="31">
        <v>103.77</v>
      </c>
      <c r="F749" s="30">
        <v>1</v>
      </c>
      <c r="G749" s="34">
        <f>E749/F749</f>
        <v>103.77</v>
      </c>
      <c r="H749" s="36" t="s">
        <v>3460</v>
      </c>
      <c r="I749" s="30" t="s">
        <v>3469</v>
      </c>
      <c r="J749" s="30" t="s">
        <v>3470</v>
      </c>
      <c r="K749" s="30" t="s">
        <v>3471</v>
      </c>
      <c r="L749" s="38" t="s">
        <v>22</v>
      </c>
      <c r="M749" s="8">
        <f>COUNTIF($B$1:$B$1191, B749)</f>
        <v>15</v>
      </c>
      <c r="N749" s="8">
        <f>COUNTIF($H$2:$H$1181, H749)</f>
        <v>34</v>
      </c>
    </row>
    <row r="750" spans="1:14">
      <c r="A750" s="32" t="s">
        <v>3472</v>
      </c>
      <c r="B750" s="26" t="s">
        <v>905</v>
      </c>
      <c r="C750" s="26" t="s">
        <v>906</v>
      </c>
      <c r="D750" s="33">
        <v>92.85</v>
      </c>
      <c r="E750" s="33">
        <v>92.85</v>
      </c>
      <c r="F750" s="26">
        <v>1</v>
      </c>
      <c r="G750" s="35">
        <f>E750/F750</f>
        <v>92.85</v>
      </c>
      <c r="H750" s="37" t="s">
        <v>3460</v>
      </c>
      <c r="I750" s="26" t="s">
        <v>3473</v>
      </c>
      <c r="J750" s="26" t="s">
        <v>3474</v>
      </c>
      <c r="K750" s="26" t="s">
        <v>3475</v>
      </c>
      <c r="L750" s="39" t="s">
        <v>22</v>
      </c>
      <c r="M750" s="8">
        <f>COUNTIF($B$1:$B$1191, B750)</f>
        <v>4</v>
      </c>
      <c r="N750" s="8">
        <f>COUNTIF($H$2:$H$1181, H750)</f>
        <v>34</v>
      </c>
    </row>
    <row r="751" spans="1:14">
      <c r="A751" s="29" t="s">
        <v>3476</v>
      </c>
      <c r="B751" s="30" t="s">
        <v>368</v>
      </c>
      <c r="C751" s="30" t="s">
        <v>50</v>
      </c>
      <c r="D751" s="31">
        <v>92.85</v>
      </c>
      <c r="E751" s="31">
        <v>92.85</v>
      </c>
      <c r="F751" s="30">
        <v>1</v>
      </c>
      <c r="G751" s="34">
        <f>E751/F751</f>
        <v>92.85</v>
      </c>
      <c r="H751" s="36" t="s">
        <v>3460</v>
      </c>
      <c r="I751" s="30" t="s">
        <v>3477</v>
      </c>
      <c r="J751" s="30" t="s">
        <v>3478</v>
      </c>
      <c r="K751" s="30" t="s">
        <v>3479</v>
      </c>
      <c r="L751" s="38" t="s">
        <v>22</v>
      </c>
      <c r="M751" s="8">
        <f>COUNTIF($B$1:$B$1191, B751)</f>
        <v>9</v>
      </c>
      <c r="N751" s="8">
        <f>COUNTIF($H$2:$H$1181, H751)</f>
        <v>34</v>
      </c>
    </row>
    <row r="752" spans="1:14">
      <c r="A752" s="32" t="s">
        <v>3480</v>
      </c>
      <c r="B752" s="26" t="s">
        <v>937</v>
      </c>
      <c r="C752" s="26" t="s">
        <v>938</v>
      </c>
      <c r="D752" s="33">
        <v>136.54</v>
      </c>
      <c r="E752" s="33">
        <v>136.54</v>
      </c>
      <c r="F752" s="26">
        <v>1</v>
      </c>
      <c r="G752" s="35">
        <f>E752/F752</f>
        <v>136.54</v>
      </c>
      <c r="H752" s="37" t="s">
        <v>3460</v>
      </c>
      <c r="I752" s="26" t="s">
        <v>3481</v>
      </c>
      <c r="J752" s="26" t="s">
        <v>3482</v>
      </c>
      <c r="K752" s="26" t="s">
        <v>3483</v>
      </c>
      <c r="L752" s="39" t="s">
        <v>22</v>
      </c>
      <c r="M752" s="8">
        <f>COUNTIF($B$1:$B$1191, B752)</f>
        <v>6</v>
      </c>
      <c r="N752" s="8">
        <f>COUNTIF($H$2:$H$1181, H752)</f>
        <v>34</v>
      </c>
    </row>
    <row r="753" spans="1:14">
      <c r="A753" s="29" t="s">
        <v>3484</v>
      </c>
      <c r="B753" s="30" t="s">
        <v>346</v>
      </c>
      <c r="C753" s="30" t="s">
        <v>347</v>
      </c>
      <c r="D753" s="31">
        <v>136.54</v>
      </c>
      <c r="E753" s="31">
        <v>136.54</v>
      </c>
      <c r="F753" s="30">
        <v>1</v>
      </c>
      <c r="G753" s="34">
        <f>E753/F753</f>
        <v>136.54</v>
      </c>
      <c r="H753" s="36" t="s">
        <v>3460</v>
      </c>
      <c r="I753" s="30" t="s">
        <v>3485</v>
      </c>
      <c r="J753" s="30" t="s">
        <v>3486</v>
      </c>
      <c r="K753" s="30" t="s">
        <v>3487</v>
      </c>
      <c r="L753" s="38" t="s">
        <v>22</v>
      </c>
      <c r="M753" s="8">
        <f>COUNTIF($B$1:$B$1191, B753)</f>
        <v>11</v>
      </c>
      <c r="N753" s="8">
        <f>COUNTIF($H$2:$H$1181, H753)</f>
        <v>34</v>
      </c>
    </row>
    <row r="754" spans="1:14">
      <c r="A754" s="32" t="s">
        <v>3488</v>
      </c>
      <c r="B754" s="26" t="s">
        <v>3489</v>
      </c>
      <c r="C754" s="26" t="s">
        <v>3490</v>
      </c>
      <c r="D754" s="33">
        <v>89.02</v>
      </c>
      <c r="E754" s="33">
        <v>89.02</v>
      </c>
      <c r="F754" s="26">
        <v>1</v>
      </c>
      <c r="G754" s="35">
        <f>E754/F754</f>
        <v>89.02</v>
      </c>
      <c r="H754" s="37" t="s">
        <v>3460</v>
      </c>
      <c r="I754" s="26" t="s">
        <v>3491</v>
      </c>
      <c r="J754" s="26" t="s">
        <v>3492</v>
      </c>
      <c r="K754" s="26" t="s">
        <v>3493</v>
      </c>
      <c r="L754" s="39" t="s">
        <v>22</v>
      </c>
      <c r="M754" s="8">
        <f>COUNTIF($B$1:$B$1191, B754)</f>
        <v>1</v>
      </c>
      <c r="N754" s="8">
        <f>COUNTIF($H$2:$H$1181, H754)</f>
        <v>34</v>
      </c>
    </row>
    <row r="755" spans="1:14">
      <c r="A755" s="29" t="s">
        <v>3494</v>
      </c>
      <c r="B755" s="30" t="s">
        <v>368</v>
      </c>
      <c r="C755" s="30" t="s">
        <v>50</v>
      </c>
      <c r="D755" s="31">
        <v>92.85</v>
      </c>
      <c r="E755" s="31">
        <v>92.85</v>
      </c>
      <c r="F755" s="30">
        <v>1</v>
      </c>
      <c r="G755" s="34">
        <f>E755/F755</f>
        <v>92.85</v>
      </c>
      <c r="H755" s="36" t="s">
        <v>3460</v>
      </c>
      <c r="I755" s="30" t="s">
        <v>3495</v>
      </c>
      <c r="J755" s="30" t="s">
        <v>3496</v>
      </c>
      <c r="K755" s="30" t="s">
        <v>3497</v>
      </c>
      <c r="L755" s="38" t="s">
        <v>22</v>
      </c>
      <c r="M755" s="8">
        <f>COUNTIF($B$1:$B$1191, B755)</f>
        <v>9</v>
      </c>
      <c r="N755" s="8">
        <f>COUNTIF($H$2:$H$1181, H755)</f>
        <v>34</v>
      </c>
    </row>
    <row r="756" spans="1:14">
      <c r="A756" s="32" t="s">
        <v>3498</v>
      </c>
      <c r="B756" s="26" t="s">
        <v>1755</v>
      </c>
      <c r="C756" s="26" t="s">
        <v>1756</v>
      </c>
      <c r="D756" s="33">
        <v>87.39</v>
      </c>
      <c r="E756" s="33">
        <v>87.39</v>
      </c>
      <c r="F756" s="26">
        <v>1</v>
      </c>
      <c r="G756" s="35">
        <f>E756/F756</f>
        <v>87.39</v>
      </c>
      <c r="H756" s="37" t="s">
        <v>3460</v>
      </c>
      <c r="I756" s="26" t="s">
        <v>3499</v>
      </c>
      <c r="J756" s="26" t="s">
        <v>3500</v>
      </c>
      <c r="K756" s="26" t="s">
        <v>3501</v>
      </c>
      <c r="L756" s="39" t="s">
        <v>22</v>
      </c>
      <c r="M756" s="8">
        <f>COUNTIF($B$1:$B$1191, B756)</f>
        <v>3</v>
      </c>
      <c r="N756" s="8">
        <f>COUNTIF($H$2:$H$1181, H756)</f>
        <v>34</v>
      </c>
    </row>
    <row r="757" spans="1:14">
      <c r="A757" s="29" t="s">
        <v>3502</v>
      </c>
      <c r="B757" s="30" t="s">
        <v>971</v>
      </c>
      <c r="C757" s="30" t="s">
        <v>972</v>
      </c>
      <c r="D757" s="31">
        <v>54.62</v>
      </c>
      <c r="E757" s="31">
        <v>54.62</v>
      </c>
      <c r="F757" s="30">
        <v>1</v>
      </c>
      <c r="G757" s="34">
        <f>E757/F757</f>
        <v>54.62</v>
      </c>
      <c r="H757" s="36" t="s">
        <v>3460</v>
      </c>
      <c r="I757" s="30" t="s">
        <v>3503</v>
      </c>
      <c r="J757" s="30" t="s">
        <v>3504</v>
      </c>
      <c r="K757" s="30" t="s">
        <v>3505</v>
      </c>
      <c r="L757" s="38" t="s">
        <v>22</v>
      </c>
      <c r="M757" s="8">
        <f>COUNTIF($B$1:$B$1191, B757)</f>
        <v>6</v>
      </c>
      <c r="N757" s="8">
        <f>COUNTIF($H$2:$H$1181, H757)</f>
        <v>34</v>
      </c>
    </row>
    <row r="758" spans="1:14">
      <c r="A758" s="32" t="s">
        <v>3506</v>
      </c>
      <c r="B758" s="26" t="s">
        <v>277</v>
      </c>
      <c r="C758" s="26" t="s">
        <v>278</v>
      </c>
      <c r="D758" s="33">
        <v>136.54</v>
      </c>
      <c r="E758" s="33">
        <v>136.54</v>
      </c>
      <c r="F758" s="26">
        <v>1</v>
      </c>
      <c r="G758" s="35">
        <f>E758/F758</f>
        <v>136.54</v>
      </c>
      <c r="H758" s="37" t="s">
        <v>3460</v>
      </c>
      <c r="I758" s="26" t="s">
        <v>3507</v>
      </c>
      <c r="J758" s="26" t="s">
        <v>3508</v>
      </c>
      <c r="K758" s="26" t="s">
        <v>3509</v>
      </c>
      <c r="L758" s="39" t="s">
        <v>22</v>
      </c>
      <c r="M758" s="8">
        <f>COUNTIF($B$1:$B$1191, B758)</f>
        <v>3</v>
      </c>
      <c r="N758" s="8">
        <f>COUNTIF($H$2:$H$1181, H758)</f>
        <v>34</v>
      </c>
    </row>
    <row r="759" spans="1:14">
      <c r="A759" s="29" t="s">
        <v>3510</v>
      </c>
      <c r="B759" s="30" t="s">
        <v>165</v>
      </c>
      <c r="C759" s="30" t="s">
        <v>165</v>
      </c>
      <c r="D759" s="31">
        <v>49.15</v>
      </c>
      <c r="E759" s="31">
        <v>49.15</v>
      </c>
      <c r="F759" s="30">
        <v>1</v>
      </c>
      <c r="G759" s="34">
        <f>E759/F759</f>
        <v>49.15</v>
      </c>
      <c r="H759" s="36" t="s">
        <v>3460</v>
      </c>
      <c r="I759" s="30" t="s">
        <v>3511</v>
      </c>
      <c r="J759" s="30" t="s">
        <v>3512</v>
      </c>
      <c r="K759" s="30" t="s">
        <v>3513</v>
      </c>
      <c r="L759" s="38" t="s">
        <v>22</v>
      </c>
      <c r="M759" s="8">
        <f>COUNTIF($B$1:$B$1191, B759)</f>
        <v>9</v>
      </c>
      <c r="N759" s="8">
        <f>COUNTIF($H$2:$H$1181, H759)</f>
        <v>34</v>
      </c>
    </row>
    <row r="760" spans="1:14">
      <c r="A760" s="32" t="s">
        <v>3514</v>
      </c>
      <c r="B760" s="26" t="s">
        <v>127</v>
      </c>
      <c r="C760" s="26" t="s">
        <v>128</v>
      </c>
      <c r="D760" s="33">
        <v>65.540000000000006</v>
      </c>
      <c r="E760" s="33">
        <v>65.540000000000006</v>
      </c>
      <c r="F760" s="26">
        <v>1</v>
      </c>
      <c r="G760" s="35">
        <f>E760/F760</f>
        <v>65.540000000000006</v>
      </c>
      <c r="H760" s="37" t="s">
        <v>3460</v>
      </c>
      <c r="I760" s="26" t="s">
        <v>3515</v>
      </c>
      <c r="J760" s="26" t="s">
        <v>3516</v>
      </c>
      <c r="K760" s="26" t="s">
        <v>3517</v>
      </c>
      <c r="L760" s="39" t="s">
        <v>22</v>
      </c>
      <c r="M760" s="8">
        <f>COUNTIF($B$1:$B$1191, B760)</f>
        <v>3</v>
      </c>
      <c r="N760" s="8">
        <f>COUNTIF($H$2:$H$1181, H760)</f>
        <v>34</v>
      </c>
    </row>
    <row r="761" spans="1:14">
      <c r="A761" s="29" t="s">
        <v>3518</v>
      </c>
      <c r="B761" s="30" t="s">
        <v>270</v>
      </c>
      <c r="C761" s="30" t="s">
        <v>271</v>
      </c>
      <c r="D761" s="31">
        <v>431.47</v>
      </c>
      <c r="E761" s="31">
        <v>431.47</v>
      </c>
      <c r="F761" s="30">
        <v>1</v>
      </c>
      <c r="G761" s="34">
        <f>E761/F761</f>
        <v>431.47</v>
      </c>
      <c r="H761" s="36" t="s">
        <v>3460</v>
      </c>
      <c r="I761" s="30" t="s">
        <v>3519</v>
      </c>
      <c r="J761" s="30" t="s">
        <v>3520</v>
      </c>
      <c r="K761" s="30" t="s">
        <v>3521</v>
      </c>
      <c r="L761" s="38" t="s">
        <v>22</v>
      </c>
      <c r="M761" s="8">
        <f>COUNTIF($B$1:$B$1191, B761)</f>
        <v>5</v>
      </c>
      <c r="N761" s="8">
        <f>COUNTIF($H$2:$H$1181, H761)</f>
        <v>34</v>
      </c>
    </row>
    <row r="762" spans="1:14">
      <c r="A762" s="32" t="s">
        <v>3522</v>
      </c>
      <c r="B762" s="26" t="s">
        <v>2246</v>
      </c>
      <c r="C762" s="26" t="s">
        <v>2247</v>
      </c>
      <c r="D762" s="33">
        <v>365.93</v>
      </c>
      <c r="E762" s="33">
        <v>365.93</v>
      </c>
      <c r="F762" s="26">
        <v>1</v>
      </c>
      <c r="G762" s="35">
        <f>E762/F762</f>
        <v>365.93</v>
      </c>
      <c r="H762" s="37" t="s">
        <v>3460</v>
      </c>
      <c r="I762" s="26" t="s">
        <v>3523</v>
      </c>
      <c r="J762" s="26" t="s">
        <v>3524</v>
      </c>
      <c r="K762" s="26" t="s">
        <v>3525</v>
      </c>
      <c r="L762" s="39" t="s">
        <v>22</v>
      </c>
      <c r="M762" s="8">
        <f>COUNTIF($B$1:$B$1191, B762)</f>
        <v>2</v>
      </c>
      <c r="N762" s="8">
        <f>COUNTIF($H$2:$H$1181, H762)</f>
        <v>34</v>
      </c>
    </row>
    <row r="763" spans="1:14">
      <c r="A763" s="29" t="s">
        <v>3526</v>
      </c>
      <c r="B763" s="30" t="s">
        <v>3527</v>
      </c>
      <c r="C763" s="30" t="s">
        <v>3527</v>
      </c>
      <c r="D763" s="31">
        <v>158.38999999999999</v>
      </c>
      <c r="E763" s="31">
        <v>158.38999999999999</v>
      </c>
      <c r="F763" s="30">
        <v>1</v>
      </c>
      <c r="G763" s="34">
        <f>E763/F763</f>
        <v>158.38999999999999</v>
      </c>
      <c r="H763" s="36" t="s">
        <v>3460</v>
      </c>
      <c r="I763" s="30" t="s">
        <v>3528</v>
      </c>
      <c r="J763" s="30" t="s">
        <v>3529</v>
      </c>
      <c r="K763" s="30" t="s">
        <v>3530</v>
      </c>
      <c r="L763" s="38" t="s">
        <v>22</v>
      </c>
      <c r="M763" s="8">
        <f>COUNTIF($B$1:$B$1191, B763)</f>
        <v>1</v>
      </c>
      <c r="N763" s="8">
        <f>COUNTIF($H$2:$H$1181, H763)</f>
        <v>34</v>
      </c>
    </row>
    <row r="764" spans="1:14">
      <c r="A764" s="32" t="s">
        <v>3531</v>
      </c>
      <c r="B764" s="26" t="s">
        <v>3532</v>
      </c>
      <c r="C764" s="26" t="s">
        <v>3533</v>
      </c>
      <c r="D764" s="33">
        <v>109.23</v>
      </c>
      <c r="E764" s="33">
        <v>109.23</v>
      </c>
      <c r="F764" s="26">
        <v>1</v>
      </c>
      <c r="G764" s="35">
        <f>E764/F764</f>
        <v>109.23</v>
      </c>
      <c r="H764" s="37" t="s">
        <v>3460</v>
      </c>
      <c r="I764" s="26" t="s">
        <v>3534</v>
      </c>
      <c r="J764" s="26" t="s">
        <v>3535</v>
      </c>
      <c r="K764" s="26" t="s">
        <v>3536</v>
      </c>
      <c r="L764" s="39" t="s">
        <v>22</v>
      </c>
      <c r="M764" s="8">
        <f>COUNTIF($B$1:$B$1191, B764)</f>
        <v>1</v>
      </c>
      <c r="N764" s="8">
        <f>COUNTIF($H$2:$H$1181, H764)</f>
        <v>34</v>
      </c>
    </row>
    <row r="765" spans="1:14">
      <c r="A765" s="29" t="s">
        <v>3537</v>
      </c>
      <c r="B765" s="30" t="s">
        <v>384</v>
      </c>
      <c r="C765" s="30" t="s">
        <v>385</v>
      </c>
      <c r="D765" s="31">
        <v>92.3</v>
      </c>
      <c r="E765" s="31">
        <v>92.3</v>
      </c>
      <c r="F765" s="30">
        <v>1</v>
      </c>
      <c r="G765" s="34">
        <f>E765/F765</f>
        <v>92.3</v>
      </c>
      <c r="H765" s="36" t="s">
        <v>3460</v>
      </c>
      <c r="I765" s="30" t="s">
        <v>3538</v>
      </c>
      <c r="J765" s="30" t="s">
        <v>3539</v>
      </c>
      <c r="K765" s="30" t="s">
        <v>3540</v>
      </c>
      <c r="L765" s="38" t="s">
        <v>153</v>
      </c>
      <c r="M765" s="8">
        <f>COUNTIF($B$1:$B$1191, B765)</f>
        <v>9</v>
      </c>
      <c r="N765" s="8">
        <f>COUNTIF($H$2:$H$1181, H765)</f>
        <v>34</v>
      </c>
    </row>
    <row r="766" spans="1:14">
      <c r="A766" s="32" t="s">
        <v>3541</v>
      </c>
      <c r="B766" s="26" t="s">
        <v>432</v>
      </c>
      <c r="C766" s="26" t="s">
        <v>433</v>
      </c>
      <c r="D766" s="33">
        <v>87.39</v>
      </c>
      <c r="E766" s="33">
        <v>87.39</v>
      </c>
      <c r="F766" s="26">
        <v>1</v>
      </c>
      <c r="G766" s="35">
        <f>E766/F766</f>
        <v>87.39</v>
      </c>
      <c r="H766" s="37" t="s">
        <v>3460</v>
      </c>
      <c r="I766" s="26" t="s">
        <v>3542</v>
      </c>
      <c r="J766" s="26" t="s">
        <v>3543</v>
      </c>
      <c r="K766" s="26" t="s">
        <v>3544</v>
      </c>
      <c r="L766" s="39" t="s">
        <v>22</v>
      </c>
      <c r="M766" s="8">
        <f>COUNTIF($B$1:$B$1191, B766)</f>
        <v>10</v>
      </c>
      <c r="N766" s="8">
        <f>COUNTIF($H$2:$H$1181, H766)</f>
        <v>34</v>
      </c>
    </row>
    <row r="767" spans="1:14">
      <c r="A767" s="29" t="s">
        <v>3545</v>
      </c>
      <c r="B767" s="30" t="s">
        <v>438</v>
      </c>
      <c r="C767" s="30" t="s">
        <v>439</v>
      </c>
      <c r="D767" s="31">
        <v>87.39</v>
      </c>
      <c r="E767" s="31">
        <v>87.39</v>
      </c>
      <c r="F767" s="30">
        <v>1</v>
      </c>
      <c r="G767" s="34">
        <f>E767/F767</f>
        <v>87.39</v>
      </c>
      <c r="H767" s="36" t="s">
        <v>3460</v>
      </c>
      <c r="I767" s="30" t="s">
        <v>3546</v>
      </c>
      <c r="J767" s="30" t="s">
        <v>3547</v>
      </c>
      <c r="K767" s="30" t="s">
        <v>3548</v>
      </c>
      <c r="L767" s="38" t="s">
        <v>22</v>
      </c>
      <c r="M767" s="8">
        <f>COUNTIF($B$1:$B$1191, B767)</f>
        <v>14</v>
      </c>
      <c r="N767" s="8">
        <f>COUNTIF($H$2:$H$1181, H767)</f>
        <v>34</v>
      </c>
    </row>
    <row r="768" spans="1:14">
      <c r="A768" s="32" t="s">
        <v>3549</v>
      </c>
      <c r="B768" s="26" t="s">
        <v>165</v>
      </c>
      <c r="C768" s="26" t="s">
        <v>165</v>
      </c>
      <c r="D768" s="33">
        <v>49.15</v>
      </c>
      <c r="E768" s="33">
        <v>49.15</v>
      </c>
      <c r="F768" s="26">
        <v>1</v>
      </c>
      <c r="G768" s="35">
        <f>E768/F768</f>
        <v>49.15</v>
      </c>
      <c r="H768" s="37" t="s">
        <v>3460</v>
      </c>
      <c r="I768" s="26" t="s">
        <v>3550</v>
      </c>
      <c r="J768" s="26" t="s">
        <v>3551</v>
      </c>
      <c r="K768" s="26" t="s">
        <v>3552</v>
      </c>
      <c r="L768" s="39" t="s">
        <v>22</v>
      </c>
      <c r="M768" s="8">
        <f>COUNTIF($B$1:$B$1191, B768)</f>
        <v>9</v>
      </c>
      <c r="N768" s="8">
        <f>COUNTIF($H$2:$H$1181, H768)</f>
        <v>34</v>
      </c>
    </row>
    <row r="769" spans="1:14">
      <c r="A769" s="29" t="s">
        <v>3553</v>
      </c>
      <c r="B769" s="30" t="s">
        <v>165</v>
      </c>
      <c r="C769" s="30" t="s">
        <v>165</v>
      </c>
      <c r="D769" s="31">
        <v>49.15</v>
      </c>
      <c r="E769" s="31">
        <v>49.15</v>
      </c>
      <c r="F769" s="30">
        <v>1</v>
      </c>
      <c r="G769" s="34">
        <f>E769/F769</f>
        <v>49.15</v>
      </c>
      <c r="H769" s="36" t="s">
        <v>3460</v>
      </c>
      <c r="I769" s="30" t="s">
        <v>3554</v>
      </c>
      <c r="J769" s="30" t="s">
        <v>3555</v>
      </c>
      <c r="K769" s="30" t="s">
        <v>3556</v>
      </c>
      <c r="L769" s="38" t="s">
        <v>22</v>
      </c>
      <c r="M769" s="8">
        <f>COUNTIF($B$1:$B$1191, B769)</f>
        <v>9</v>
      </c>
      <c r="N769" s="8">
        <f>COUNTIF($H$2:$H$1181, H769)</f>
        <v>34</v>
      </c>
    </row>
    <row r="770" spans="1:14">
      <c r="A770" s="32" t="s">
        <v>3557</v>
      </c>
      <c r="B770" s="26" t="s">
        <v>368</v>
      </c>
      <c r="C770" s="26" t="s">
        <v>50</v>
      </c>
      <c r="D770" s="33">
        <v>92.85</v>
      </c>
      <c r="E770" s="33">
        <v>92.85</v>
      </c>
      <c r="F770" s="26">
        <v>1</v>
      </c>
      <c r="G770" s="35">
        <f>E770/F770</f>
        <v>92.85</v>
      </c>
      <c r="H770" s="37" t="s">
        <v>3460</v>
      </c>
      <c r="I770" s="26" t="s">
        <v>3558</v>
      </c>
      <c r="J770" s="26" t="s">
        <v>3559</v>
      </c>
      <c r="K770" s="26" t="s">
        <v>3560</v>
      </c>
      <c r="L770" s="39" t="s">
        <v>22</v>
      </c>
      <c r="M770" s="8">
        <f>COUNTIF($B$1:$B$1191, B770)</f>
        <v>9</v>
      </c>
      <c r="N770" s="8">
        <f>COUNTIF($H$2:$H$1181, H770)</f>
        <v>34</v>
      </c>
    </row>
    <row r="771" spans="1:14">
      <c r="A771" s="29" t="s">
        <v>3561</v>
      </c>
      <c r="B771" s="30" t="s">
        <v>346</v>
      </c>
      <c r="C771" s="30" t="s">
        <v>347</v>
      </c>
      <c r="D771" s="31">
        <v>136.54</v>
      </c>
      <c r="E771" s="31">
        <v>136.54</v>
      </c>
      <c r="F771" s="30">
        <v>1</v>
      </c>
      <c r="G771" s="34">
        <f>E771/F771</f>
        <v>136.54</v>
      </c>
      <c r="H771" s="36" t="s">
        <v>3460</v>
      </c>
      <c r="I771" s="30" t="s">
        <v>3562</v>
      </c>
      <c r="J771" s="30" t="s">
        <v>3563</v>
      </c>
      <c r="K771" s="30" t="s">
        <v>3564</v>
      </c>
      <c r="L771" s="38" t="s">
        <v>22</v>
      </c>
      <c r="M771" s="8">
        <f>COUNTIF($B$1:$B$1191, B771)</f>
        <v>11</v>
      </c>
      <c r="N771" s="8">
        <f>COUNTIF($H$2:$H$1181, H771)</f>
        <v>34</v>
      </c>
    </row>
    <row r="772" spans="1:14">
      <c r="A772" s="32" t="s">
        <v>3565</v>
      </c>
      <c r="B772" s="26" t="s">
        <v>65</v>
      </c>
      <c r="C772" s="26" t="s">
        <v>66</v>
      </c>
      <c r="D772" s="33">
        <v>92.85</v>
      </c>
      <c r="E772" s="33">
        <v>92.85</v>
      </c>
      <c r="F772" s="26">
        <v>1</v>
      </c>
      <c r="G772" s="35">
        <f>E772/F772</f>
        <v>92.85</v>
      </c>
      <c r="H772" s="37" t="s">
        <v>3460</v>
      </c>
      <c r="I772" s="26" t="s">
        <v>3566</v>
      </c>
      <c r="J772" s="26" t="s">
        <v>3567</v>
      </c>
      <c r="K772" s="26" t="s">
        <v>3568</v>
      </c>
      <c r="L772" s="39" t="s">
        <v>22</v>
      </c>
      <c r="M772" s="8">
        <f>COUNTIF($B$1:$B$1191, B772)</f>
        <v>9</v>
      </c>
      <c r="N772" s="8">
        <f>COUNTIF($H$2:$H$1181, H772)</f>
        <v>34</v>
      </c>
    </row>
    <row r="773" spans="1:14">
      <c r="A773" s="29" t="s">
        <v>3569</v>
      </c>
      <c r="B773" s="30" t="s">
        <v>1280</v>
      </c>
      <c r="C773" s="30" t="s">
        <v>1281</v>
      </c>
      <c r="D773" s="31">
        <v>136.54</v>
      </c>
      <c r="E773" s="31">
        <v>136.54</v>
      </c>
      <c r="F773" s="30">
        <v>1</v>
      </c>
      <c r="G773" s="34">
        <f>E773/F773</f>
        <v>136.54</v>
      </c>
      <c r="H773" s="36" t="s">
        <v>3460</v>
      </c>
      <c r="I773" s="30" t="s">
        <v>3570</v>
      </c>
      <c r="J773" s="30" t="s">
        <v>3571</v>
      </c>
      <c r="K773" s="30" t="s">
        <v>3572</v>
      </c>
      <c r="L773" s="38" t="s">
        <v>22</v>
      </c>
      <c r="M773" s="8">
        <f>COUNTIF($B$1:$B$1191, B773)</f>
        <v>3</v>
      </c>
      <c r="N773" s="8">
        <f>COUNTIF($H$2:$H$1181, H773)</f>
        <v>34</v>
      </c>
    </row>
    <row r="774" spans="1:14">
      <c r="A774" s="32" t="s">
        <v>3573</v>
      </c>
      <c r="B774" s="26" t="s">
        <v>1482</v>
      </c>
      <c r="C774" s="26" t="s">
        <v>211</v>
      </c>
      <c r="D774" s="33">
        <v>140.80000000000001</v>
      </c>
      <c r="E774" s="33">
        <v>140.80000000000001</v>
      </c>
      <c r="F774" s="26">
        <v>1</v>
      </c>
      <c r="G774" s="35">
        <f>E774/F774</f>
        <v>140.80000000000001</v>
      </c>
      <c r="H774" s="37" t="s">
        <v>3460</v>
      </c>
      <c r="I774" s="26" t="s">
        <v>3574</v>
      </c>
      <c r="J774" s="26" t="s">
        <v>3575</v>
      </c>
      <c r="K774" s="26" t="s">
        <v>3576</v>
      </c>
      <c r="L774" s="39" t="s">
        <v>22</v>
      </c>
      <c r="M774" s="8">
        <f>COUNTIF($B$1:$B$1191, B774)</f>
        <v>4</v>
      </c>
      <c r="N774" s="8">
        <f>COUNTIF($H$2:$H$1181, H774)</f>
        <v>34</v>
      </c>
    </row>
    <row r="775" spans="1:14">
      <c r="A775" s="29" t="s">
        <v>3577</v>
      </c>
      <c r="B775" s="30" t="s">
        <v>222</v>
      </c>
      <c r="C775" s="30" t="s">
        <v>223</v>
      </c>
      <c r="D775" s="31">
        <v>131.08000000000001</v>
      </c>
      <c r="E775" s="31">
        <v>131.08000000000001</v>
      </c>
      <c r="F775" s="30">
        <v>1</v>
      </c>
      <c r="G775" s="34">
        <f>E775/F775</f>
        <v>131.08000000000001</v>
      </c>
      <c r="H775" s="36" t="s">
        <v>3460</v>
      </c>
      <c r="I775" s="30" t="s">
        <v>3578</v>
      </c>
      <c r="J775" s="30" t="s">
        <v>3579</v>
      </c>
      <c r="K775" s="30" t="s">
        <v>3580</v>
      </c>
      <c r="L775" s="38" t="s">
        <v>22</v>
      </c>
      <c r="M775" s="8">
        <f>COUNTIF($B$1:$B$1191, B775)</f>
        <v>11</v>
      </c>
      <c r="N775" s="8">
        <f>COUNTIF($H$2:$H$1181, H775)</f>
        <v>34</v>
      </c>
    </row>
    <row r="776" spans="1:14">
      <c r="A776" s="32" t="s">
        <v>3581</v>
      </c>
      <c r="B776" s="26" t="s">
        <v>384</v>
      </c>
      <c r="C776" s="26" t="s">
        <v>385</v>
      </c>
      <c r="D776" s="33">
        <v>92.3</v>
      </c>
      <c r="E776" s="33">
        <v>92.3</v>
      </c>
      <c r="F776" s="26">
        <v>1</v>
      </c>
      <c r="G776" s="35">
        <f>E776/F776</f>
        <v>92.3</v>
      </c>
      <c r="H776" s="37" t="s">
        <v>3460</v>
      </c>
      <c r="I776" s="26" t="s">
        <v>3582</v>
      </c>
      <c r="J776" s="26" t="s">
        <v>3583</v>
      </c>
      <c r="K776" s="26" t="s">
        <v>3540</v>
      </c>
      <c r="L776" s="39" t="s">
        <v>153</v>
      </c>
      <c r="M776" s="8">
        <f>COUNTIF($B$1:$B$1191, B776)</f>
        <v>9</v>
      </c>
      <c r="N776" s="8">
        <f>COUNTIF($H$2:$H$1181, H776)</f>
        <v>34</v>
      </c>
    </row>
    <row r="777" spans="1:14">
      <c r="A777" s="29" t="s">
        <v>3584</v>
      </c>
      <c r="B777" s="30" t="s">
        <v>1611</v>
      </c>
      <c r="C777" s="30" t="s">
        <v>1612</v>
      </c>
      <c r="D777" s="31">
        <v>81.92</v>
      </c>
      <c r="E777" s="31">
        <v>81.92</v>
      </c>
      <c r="F777" s="30">
        <v>1</v>
      </c>
      <c r="G777" s="34">
        <f>E777/F777</f>
        <v>81.92</v>
      </c>
      <c r="H777" s="36" t="s">
        <v>3460</v>
      </c>
      <c r="I777" s="30" t="s">
        <v>3585</v>
      </c>
      <c r="J777" s="30" t="s">
        <v>3586</v>
      </c>
      <c r="K777" s="30" t="s">
        <v>3587</v>
      </c>
      <c r="L777" s="38" t="s">
        <v>22</v>
      </c>
      <c r="M777" s="8">
        <f>COUNTIF($B$1:$B$1191, B777)</f>
        <v>4</v>
      </c>
      <c r="N777" s="8">
        <f>COUNTIF($H$2:$H$1181, H777)</f>
        <v>34</v>
      </c>
    </row>
    <row r="778" spans="1:14">
      <c r="A778" s="32" t="s">
        <v>3588</v>
      </c>
      <c r="B778" s="26" t="s">
        <v>346</v>
      </c>
      <c r="C778" s="26" t="s">
        <v>347</v>
      </c>
      <c r="D778" s="33">
        <v>71</v>
      </c>
      <c r="E778" s="33">
        <v>71</v>
      </c>
      <c r="F778" s="26">
        <v>1</v>
      </c>
      <c r="G778" s="35">
        <f>E778/F778</f>
        <v>71</v>
      </c>
      <c r="H778" s="37" t="s">
        <v>3460</v>
      </c>
      <c r="I778" s="26" t="s">
        <v>3589</v>
      </c>
      <c r="J778" s="26" t="s">
        <v>3590</v>
      </c>
      <c r="K778" s="26" t="s">
        <v>3591</v>
      </c>
      <c r="L778" s="39" t="s">
        <v>22</v>
      </c>
      <c r="M778" s="8">
        <f>COUNTIF($B$1:$B$1191, B778)</f>
        <v>11</v>
      </c>
      <c r="N778" s="8">
        <f>COUNTIF($H$2:$H$1181, H778)</f>
        <v>34</v>
      </c>
    </row>
    <row r="779" spans="1:14">
      <c r="A779" s="29" t="s">
        <v>3592</v>
      </c>
      <c r="B779" s="30" t="s">
        <v>1755</v>
      </c>
      <c r="C779" s="30" t="s">
        <v>1756</v>
      </c>
      <c r="D779" s="31">
        <v>60.08</v>
      </c>
      <c r="E779" s="31">
        <v>60.08</v>
      </c>
      <c r="F779" s="30">
        <v>1</v>
      </c>
      <c r="G779" s="34">
        <f>E779/F779</f>
        <v>60.08</v>
      </c>
      <c r="H779" s="36" t="s">
        <v>3460</v>
      </c>
      <c r="I779" s="30" t="s">
        <v>3593</v>
      </c>
      <c r="J779" s="30" t="s">
        <v>3594</v>
      </c>
      <c r="K779" s="30" t="s">
        <v>3595</v>
      </c>
      <c r="L779" s="38" t="s">
        <v>22</v>
      </c>
      <c r="M779" s="8">
        <f>COUNTIF($B$1:$B$1191, B779)</f>
        <v>3</v>
      </c>
      <c r="N779" s="8">
        <f>COUNTIF($H$2:$H$1181, H779)</f>
        <v>34</v>
      </c>
    </row>
    <row r="780" spans="1:14">
      <c r="A780" s="32" t="s">
        <v>3596</v>
      </c>
      <c r="B780" s="26" t="s">
        <v>438</v>
      </c>
      <c r="C780" s="26" t="s">
        <v>439</v>
      </c>
      <c r="D780" s="33">
        <v>92.85</v>
      </c>
      <c r="E780" s="33">
        <v>92.85</v>
      </c>
      <c r="F780" s="26">
        <v>1</v>
      </c>
      <c r="G780" s="35">
        <f>E780/F780</f>
        <v>92.85</v>
      </c>
      <c r="H780" s="37" t="s">
        <v>3460</v>
      </c>
      <c r="I780" s="26" t="s">
        <v>3597</v>
      </c>
      <c r="J780" s="26" t="s">
        <v>3598</v>
      </c>
      <c r="K780" s="26" t="s">
        <v>3599</v>
      </c>
      <c r="L780" s="39" t="s">
        <v>22</v>
      </c>
      <c r="M780" s="8">
        <f>COUNTIF($B$1:$B$1191, B780)</f>
        <v>14</v>
      </c>
      <c r="N780" s="8">
        <f>COUNTIF($H$2:$H$1181, H780)</f>
        <v>34</v>
      </c>
    </row>
    <row r="781" spans="1:14">
      <c r="A781" s="29" t="s">
        <v>3600</v>
      </c>
      <c r="B781" s="30" t="s">
        <v>3601</v>
      </c>
      <c r="C781" s="30" t="s">
        <v>3602</v>
      </c>
      <c r="D781" s="31">
        <v>109.23</v>
      </c>
      <c r="E781" s="31">
        <v>327.69</v>
      </c>
      <c r="F781" s="30">
        <v>4</v>
      </c>
      <c r="G781" s="34">
        <f>E781/F781</f>
        <v>81.922499999999999</v>
      </c>
      <c r="H781" s="36" t="s">
        <v>3603</v>
      </c>
      <c r="I781" s="30" t="s">
        <v>3604</v>
      </c>
      <c r="J781" s="30" t="s">
        <v>3605</v>
      </c>
      <c r="K781" s="30" t="s">
        <v>3606</v>
      </c>
      <c r="L781" s="38" t="s">
        <v>22</v>
      </c>
      <c r="M781" s="8">
        <f>COUNTIF($B$1:$B$1191, B781)</f>
        <v>1</v>
      </c>
      <c r="N781" s="8">
        <f>COUNTIF($H$2:$H$1181, H781)</f>
        <v>19</v>
      </c>
    </row>
    <row r="782" spans="1:14">
      <c r="A782" s="32" t="s">
        <v>3607</v>
      </c>
      <c r="B782" s="26" t="s">
        <v>398</v>
      </c>
      <c r="C782" s="26" t="s">
        <v>399</v>
      </c>
      <c r="D782" s="33">
        <v>103.77</v>
      </c>
      <c r="E782" s="33">
        <v>207.54</v>
      </c>
      <c r="F782" s="26">
        <v>2</v>
      </c>
      <c r="G782" s="35">
        <f>E782/F782</f>
        <v>103.77</v>
      </c>
      <c r="H782" s="37" t="s">
        <v>3603</v>
      </c>
      <c r="I782" s="26" t="s">
        <v>3608</v>
      </c>
      <c r="J782" s="26" t="s">
        <v>3609</v>
      </c>
      <c r="K782" s="26" t="s">
        <v>3610</v>
      </c>
      <c r="L782" s="39" t="s">
        <v>22</v>
      </c>
      <c r="M782" s="8">
        <f>COUNTIF($B$1:$B$1191, B782)</f>
        <v>2</v>
      </c>
      <c r="N782" s="8">
        <f>COUNTIF($H$2:$H$1181, H782)</f>
        <v>19</v>
      </c>
    </row>
    <row r="783" spans="1:14">
      <c r="A783" s="29" t="s">
        <v>3611</v>
      </c>
      <c r="B783" s="30" t="s">
        <v>1268</v>
      </c>
      <c r="C783" s="30" t="s">
        <v>1269</v>
      </c>
      <c r="D783" s="31">
        <v>136.54</v>
      </c>
      <c r="E783" s="31">
        <v>158.38999999999999</v>
      </c>
      <c r="F783" s="30">
        <v>2</v>
      </c>
      <c r="G783" s="34">
        <f>E783/F783</f>
        <v>79.194999999999993</v>
      </c>
      <c r="H783" s="36" t="s">
        <v>3603</v>
      </c>
      <c r="I783" s="30" t="s">
        <v>3612</v>
      </c>
      <c r="J783" s="30" t="s">
        <v>3613</v>
      </c>
      <c r="K783" s="30" t="s">
        <v>3614</v>
      </c>
      <c r="L783" s="38" t="s">
        <v>22</v>
      </c>
      <c r="M783" s="8">
        <f>COUNTIF($B$1:$B$1191, B783)</f>
        <v>5</v>
      </c>
      <c r="N783" s="8">
        <f>COUNTIF($H$2:$H$1181, H783)</f>
        <v>19</v>
      </c>
    </row>
    <row r="784" spans="1:14">
      <c r="A784" s="32" t="s">
        <v>3615</v>
      </c>
      <c r="B784" s="26" t="s">
        <v>49</v>
      </c>
      <c r="C784" s="26" t="s">
        <v>50</v>
      </c>
      <c r="D784" s="33">
        <v>103.77</v>
      </c>
      <c r="E784" s="33">
        <v>125.62</v>
      </c>
      <c r="F784" s="26">
        <v>2</v>
      </c>
      <c r="G784" s="35">
        <f>E784/F784</f>
        <v>62.81</v>
      </c>
      <c r="H784" s="37" t="s">
        <v>3603</v>
      </c>
      <c r="I784" s="26" t="s">
        <v>3616</v>
      </c>
      <c r="J784" s="26" t="s">
        <v>3617</v>
      </c>
      <c r="K784" s="26" t="s">
        <v>3618</v>
      </c>
      <c r="L784" s="39" t="s">
        <v>22</v>
      </c>
      <c r="M784" s="8">
        <f>COUNTIF($B$1:$B$1191, B784)</f>
        <v>15</v>
      </c>
      <c r="N784" s="8">
        <f>COUNTIF($H$2:$H$1181, H784)</f>
        <v>19</v>
      </c>
    </row>
    <row r="785" spans="1:14">
      <c r="A785" s="29" t="s">
        <v>3619</v>
      </c>
      <c r="B785" s="30" t="s">
        <v>2409</v>
      </c>
      <c r="C785" s="30" t="s">
        <v>2410</v>
      </c>
      <c r="D785" s="31">
        <v>103.77</v>
      </c>
      <c r="E785" s="31">
        <v>103.77</v>
      </c>
      <c r="F785" s="30">
        <v>1</v>
      </c>
      <c r="G785" s="34">
        <f>E785/F785</f>
        <v>103.77</v>
      </c>
      <c r="H785" s="36" t="s">
        <v>3603</v>
      </c>
      <c r="I785" s="30" t="s">
        <v>3620</v>
      </c>
      <c r="J785" s="30" t="s">
        <v>3621</v>
      </c>
      <c r="K785" s="30" t="s">
        <v>3622</v>
      </c>
      <c r="L785" s="38" t="s">
        <v>22</v>
      </c>
      <c r="M785" s="8">
        <f>COUNTIF($B$1:$B$1191, B785)</f>
        <v>5</v>
      </c>
      <c r="N785" s="8">
        <f>COUNTIF($H$2:$H$1181, H785)</f>
        <v>19</v>
      </c>
    </row>
    <row r="786" spans="1:14">
      <c r="A786" s="32" t="s">
        <v>3623</v>
      </c>
      <c r="B786" s="26" t="s">
        <v>49</v>
      </c>
      <c r="C786" s="26" t="s">
        <v>50</v>
      </c>
      <c r="D786" s="33">
        <v>103.77</v>
      </c>
      <c r="E786" s="33">
        <v>125.62</v>
      </c>
      <c r="F786" s="26">
        <v>2</v>
      </c>
      <c r="G786" s="35">
        <f>E786/F786</f>
        <v>62.81</v>
      </c>
      <c r="H786" s="37" t="s">
        <v>3603</v>
      </c>
      <c r="I786" s="26" t="s">
        <v>3624</v>
      </c>
      <c r="J786" s="26" t="s">
        <v>3625</v>
      </c>
      <c r="K786" s="26" t="s">
        <v>3626</v>
      </c>
      <c r="L786" s="39" t="s">
        <v>22</v>
      </c>
      <c r="M786" s="8">
        <f>COUNTIF($B$1:$B$1191, B786)</f>
        <v>15</v>
      </c>
      <c r="N786" s="8">
        <f>COUNTIF($H$2:$H$1181, H786)</f>
        <v>19</v>
      </c>
    </row>
    <row r="787" spans="1:14">
      <c r="A787" s="29" t="s">
        <v>3627</v>
      </c>
      <c r="B787" s="30" t="s">
        <v>432</v>
      </c>
      <c r="C787" s="30" t="s">
        <v>433</v>
      </c>
      <c r="D787" s="31">
        <v>87.39</v>
      </c>
      <c r="E787" s="31">
        <v>87.39</v>
      </c>
      <c r="F787" s="30">
        <v>1</v>
      </c>
      <c r="G787" s="34">
        <f>E787/F787</f>
        <v>87.39</v>
      </c>
      <c r="H787" s="36" t="s">
        <v>3603</v>
      </c>
      <c r="I787" s="30" t="s">
        <v>3628</v>
      </c>
      <c r="J787" s="30" t="s">
        <v>3629</v>
      </c>
      <c r="K787" s="30" t="s">
        <v>3630</v>
      </c>
      <c r="L787" s="38" t="s">
        <v>22</v>
      </c>
      <c r="M787" s="8">
        <f>COUNTIF($B$1:$B$1191, B787)</f>
        <v>10</v>
      </c>
      <c r="N787" s="8">
        <f>COUNTIF($H$2:$H$1181, H787)</f>
        <v>19</v>
      </c>
    </row>
    <row r="788" spans="1:14">
      <c r="A788" s="32" t="s">
        <v>3631</v>
      </c>
      <c r="B788" s="26" t="s">
        <v>346</v>
      </c>
      <c r="C788" s="26" t="s">
        <v>347</v>
      </c>
      <c r="D788" s="33">
        <v>81.92</v>
      </c>
      <c r="E788" s="33">
        <v>81.92</v>
      </c>
      <c r="F788" s="26">
        <v>1</v>
      </c>
      <c r="G788" s="35">
        <f>E788/F788</f>
        <v>81.92</v>
      </c>
      <c r="H788" s="37" t="s">
        <v>3603</v>
      </c>
      <c r="I788" s="26" t="s">
        <v>3632</v>
      </c>
      <c r="J788" s="26" t="s">
        <v>3633</v>
      </c>
      <c r="K788" s="26" t="s">
        <v>3634</v>
      </c>
      <c r="L788" s="39" t="s">
        <v>22</v>
      </c>
      <c r="M788" s="8">
        <f>COUNTIF($B$1:$B$1191, B788)</f>
        <v>11</v>
      </c>
      <c r="N788" s="8">
        <f>COUNTIF($H$2:$H$1181, H788)</f>
        <v>19</v>
      </c>
    </row>
    <row r="789" spans="1:14">
      <c r="A789" s="29" t="s">
        <v>3635</v>
      </c>
      <c r="B789" s="30" t="s">
        <v>37</v>
      </c>
      <c r="C789" s="30" t="s">
        <v>38</v>
      </c>
      <c r="D789" s="31">
        <v>114.69</v>
      </c>
      <c r="E789" s="31">
        <v>114.69</v>
      </c>
      <c r="F789" s="30">
        <v>1</v>
      </c>
      <c r="G789" s="34">
        <f>E789/F789</f>
        <v>114.69</v>
      </c>
      <c r="H789" s="36" t="s">
        <v>3603</v>
      </c>
      <c r="I789" s="30" t="s">
        <v>3636</v>
      </c>
      <c r="J789" s="30" t="s">
        <v>3637</v>
      </c>
      <c r="K789" s="30" t="s">
        <v>3638</v>
      </c>
      <c r="L789" s="38" t="s">
        <v>22</v>
      </c>
      <c r="M789" s="8">
        <f>COUNTIF($B$1:$B$1191, B789)</f>
        <v>11</v>
      </c>
      <c r="N789" s="8">
        <f>COUNTIF($H$2:$H$1181, H789)</f>
        <v>19</v>
      </c>
    </row>
    <row r="790" spans="1:14">
      <c r="A790" s="32" t="s">
        <v>3639</v>
      </c>
      <c r="B790" s="26" t="s">
        <v>3209</v>
      </c>
      <c r="C790" s="26" t="s">
        <v>3210</v>
      </c>
      <c r="D790" s="33">
        <v>98.31</v>
      </c>
      <c r="E790" s="33">
        <v>120.15</v>
      </c>
      <c r="F790" s="26">
        <v>3</v>
      </c>
      <c r="G790" s="35">
        <f>E790/F790</f>
        <v>40.050000000000004</v>
      </c>
      <c r="H790" s="37" t="s">
        <v>3603</v>
      </c>
      <c r="I790" s="26" t="s">
        <v>3640</v>
      </c>
      <c r="J790" s="26" t="s">
        <v>3641</v>
      </c>
      <c r="K790" s="26" t="s">
        <v>3642</v>
      </c>
      <c r="L790" s="39" t="s">
        <v>22</v>
      </c>
      <c r="M790" s="8">
        <f>COUNTIF($B$1:$B$1191, B790)</f>
        <v>5</v>
      </c>
      <c r="N790" s="8">
        <f>COUNTIF($H$2:$H$1181, H790)</f>
        <v>19</v>
      </c>
    </row>
    <row r="791" spans="1:14">
      <c r="A791" s="29" t="s">
        <v>3643</v>
      </c>
      <c r="B791" s="30" t="s">
        <v>2409</v>
      </c>
      <c r="C791" s="30" t="s">
        <v>2410</v>
      </c>
      <c r="D791" s="31">
        <v>103.77</v>
      </c>
      <c r="E791" s="31">
        <v>103.77</v>
      </c>
      <c r="F791" s="30">
        <v>1</v>
      </c>
      <c r="G791" s="34">
        <f>E791/F791</f>
        <v>103.77</v>
      </c>
      <c r="H791" s="36" t="s">
        <v>3603</v>
      </c>
      <c r="I791" s="30" t="s">
        <v>3644</v>
      </c>
      <c r="J791" s="30" t="s">
        <v>3645</v>
      </c>
      <c r="K791" s="30" t="s">
        <v>3646</v>
      </c>
      <c r="L791" s="38" t="s">
        <v>22</v>
      </c>
      <c r="M791" s="8">
        <f>COUNTIF($B$1:$B$1191, B791)</f>
        <v>5</v>
      </c>
      <c r="N791" s="8">
        <f>COUNTIF($H$2:$H$1181, H791)</f>
        <v>19</v>
      </c>
    </row>
    <row r="792" spans="1:14">
      <c r="A792" s="32" t="s">
        <v>3647</v>
      </c>
      <c r="B792" s="26" t="s">
        <v>1068</v>
      </c>
      <c r="C792" s="26" t="s">
        <v>1069</v>
      </c>
      <c r="D792" s="33">
        <v>131.08000000000001</v>
      </c>
      <c r="E792" s="33">
        <v>131.08000000000001</v>
      </c>
      <c r="F792" s="26">
        <v>1</v>
      </c>
      <c r="G792" s="35">
        <f>E792/F792</f>
        <v>131.08000000000001</v>
      </c>
      <c r="H792" s="37" t="s">
        <v>3603</v>
      </c>
      <c r="I792" s="26" t="s">
        <v>3648</v>
      </c>
      <c r="J792" s="26" t="s">
        <v>3649</v>
      </c>
      <c r="K792" s="26" t="s">
        <v>3650</v>
      </c>
      <c r="L792" s="39" t="s">
        <v>22</v>
      </c>
      <c r="M792" s="8">
        <f>COUNTIF($B$1:$B$1191, B792)</f>
        <v>3</v>
      </c>
      <c r="N792" s="8">
        <f>COUNTIF($H$2:$H$1181, H792)</f>
        <v>19</v>
      </c>
    </row>
    <row r="793" spans="1:14">
      <c r="A793" s="29" t="s">
        <v>3651</v>
      </c>
      <c r="B793" s="30" t="s">
        <v>3652</v>
      </c>
      <c r="C793" s="30" t="s">
        <v>3653</v>
      </c>
      <c r="D793" s="31">
        <v>98.31</v>
      </c>
      <c r="E793" s="31">
        <v>98.31</v>
      </c>
      <c r="F793" s="30">
        <v>1</v>
      </c>
      <c r="G793" s="34">
        <f>E793/F793</f>
        <v>98.31</v>
      </c>
      <c r="H793" s="36" t="s">
        <v>3603</v>
      </c>
      <c r="I793" s="30" t="s">
        <v>3654</v>
      </c>
      <c r="J793" s="30" t="s">
        <v>3655</v>
      </c>
      <c r="K793" s="30" t="s">
        <v>3656</v>
      </c>
      <c r="L793" s="38" t="s">
        <v>22</v>
      </c>
      <c r="M793" s="8">
        <f>COUNTIF($B$1:$B$1191, B793)</f>
        <v>1</v>
      </c>
      <c r="N793" s="8">
        <f>COUNTIF($H$2:$H$1181, H793)</f>
        <v>19</v>
      </c>
    </row>
    <row r="794" spans="1:14">
      <c r="A794" s="32" t="s">
        <v>3657</v>
      </c>
      <c r="B794" s="26" t="s">
        <v>346</v>
      </c>
      <c r="C794" s="26" t="s">
        <v>347</v>
      </c>
      <c r="D794" s="33">
        <v>81.92</v>
      </c>
      <c r="E794" s="33">
        <v>81.92</v>
      </c>
      <c r="F794" s="26">
        <v>1</v>
      </c>
      <c r="G794" s="35">
        <f>E794/F794</f>
        <v>81.92</v>
      </c>
      <c r="H794" s="37" t="s">
        <v>3603</v>
      </c>
      <c r="I794" s="26" t="s">
        <v>3658</v>
      </c>
      <c r="J794" s="26" t="s">
        <v>3659</v>
      </c>
      <c r="K794" s="26" t="s">
        <v>3660</v>
      </c>
      <c r="L794" s="39" t="s">
        <v>22</v>
      </c>
      <c r="M794" s="8">
        <f>COUNTIF($B$1:$B$1191, B794)</f>
        <v>11</v>
      </c>
      <c r="N794" s="8">
        <f>COUNTIF($H$2:$H$1181, H794)</f>
        <v>19</v>
      </c>
    </row>
    <row r="795" spans="1:14">
      <c r="A795" s="29" t="s">
        <v>3661</v>
      </c>
      <c r="B795" s="30" t="s">
        <v>3662</v>
      </c>
      <c r="C795" s="30" t="s">
        <v>3663</v>
      </c>
      <c r="D795" s="31">
        <v>81.92</v>
      </c>
      <c r="E795" s="31">
        <v>81.92</v>
      </c>
      <c r="F795" s="30">
        <v>1</v>
      </c>
      <c r="G795" s="34">
        <f>E795/F795</f>
        <v>81.92</v>
      </c>
      <c r="H795" s="36" t="s">
        <v>3603</v>
      </c>
      <c r="I795" s="30" t="s">
        <v>3664</v>
      </c>
      <c r="J795" s="30" t="s">
        <v>3665</v>
      </c>
      <c r="K795" s="30" t="s">
        <v>3666</v>
      </c>
      <c r="L795" s="38" t="s">
        <v>22</v>
      </c>
      <c r="M795" s="8">
        <f>COUNTIF($B$1:$B$1191, B795)</f>
        <v>1</v>
      </c>
      <c r="N795" s="8">
        <f>COUNTIF($H$2:$H$1181, H795)</f>
        <v>19</v>
      </c>
    </row>
    <row r="796" spans="1:14">
      <c r="A796" s="32" t="s">
        <v>3667</v>
      </c>
      <c r="B796" s="26" t="s">
        <v>588</v>
      </c>
      <c r="C796" s="26" t="s">
        <v>589</v>
      </c>
      <c r="D796" s="33">
        <v>136.54</v>
      </c>
      <c r="E796" s="33">
        <v>136.54</v>
      </c>
      <c r="F796" s="26">
        <v>1</v>
      </c>
      <c r="G796" s="35">
        <f>E796/F796</f>
        <v>136.54</v>
      </c>
      <c r="H796" s="37" t="s">
        <v>3603</v>
      </c>
      <c r="I796" s="26" t="s">
        <v>3668</v>
      </c>
      <c r="J796" s="26" t="s">
        <v>3669</v>
      </c>
      <c r="K796" s="26" t="s">
        <v>3670</v>
      </c>
      <c r="L796" s="39" t="s">
        <v>22</v>
      </c>
      <c r="M796" s="8">
        <f>COUNTIF($B$1:$B$1191, B796)</f>
        <v>4</v>
      </c>
      <c r="N796" s="8">
        <f>COUNTIF($H$2:$H$1181, H796)</f>
        <v>19</v>
      </c>
    </row>
    <row r="797" spans="1:14">
      <c r="A797" s="29" t="s">
        <v>3671</v>
      </c>
      <c r="B797" s="30" t="s">
        <v>216</v>
      </c>
      <c r="C797" s="30" t="s">
        <v>217</v>
      </c>
      <c r="D797" s="31">
        <v>54.62</v>
      </c>
      <c r="E797" s="31">
        <v>819.24</v>
      </c>
      <c r="F797" s="30">
        <v>96</v>
      </c>
      <c r="G797" s="34">
        <f>E797/F797</f>
        <v>8.5337499999999995</v>
      </c>
      <c r="H797" s="36" t="s">
        <v>3603</v>
      </c>
      <c r="I797" s="30" t="s">
        <v>3672</v>
      </c>
      <c r="J797" s="30" t="s">
        <v>3673</v>
      </c>
      <c r="K797" s="30" t="s">
        <v>3674</v>
      </c>
      <c r="L797" s="38" t="s">
        <v>153</v>
      </c>
      <c r="M797" s="8">
        <f>COUNTIF($B$1:$B$1191, B797)</f>
        <v>3</v>
      </c>
      <c r="N797" s="8">
        <f>COUNTIF($H$2:$H$1181, H797)</f>
        <v>19</v>
      </c>
    </row>
    <row r="798" spans="1:14">
      <c r="A798" s="32" t="s">
        <v>3675</v>
      </c>
      <c r="B798" s="26" t="s">
        <v>3676</v>
      </c>
      <c r="C798" s="26" t="s">
        <v>3677</v>
      </c>
      <c r="D798" s="33">
        <v>163.85</v>
      </c>
      <c r="E798" s="33">
        <v>196.62</v>
      </c>
      <c r="F798" s="26">
        <v>2</v>
      </c>
      <c r="G798" s="35">
        <f>E798/F798</f>
        <v>98.31</v>
      </c>
      <c r="H798" s="37" t="s">
        <v>3603</v>
      </c>
      <c r="I798" s="26" t="s">
        <v>3678</v>
      </c>
      <c r="J798" s="26" t="s">
        <v>3679</v>
      </c>
      <c r="K798" s="26" t="s">
        <v>3680</v>
      </c>
      <c r="L798" s="39" t="s">
        <v>22</v>
      </c>
      <c r="M798" s="8">
        <f>COUNTIF($B$1:$B$1191, B798)</f>
        <v>1</v>
      </c>
      <c r="N798" s="8">
        <f>COUNTIF($H$2:$H$1181, H798)</f>
        <v>19</v>
      </c>
    </row>
    <row r="799" spans="1:14">
      <c r="A799" s="29" t="s">
        <v>3681</v>
      </c>
      <c r="B799" s="30" t="s">
        <v>3682</v>
      </c>
      <c r="C799" s="30" t="s">
        <v>3683</v>
      </c>
      <c r="D799" s="31">
        <v>109.23</v>
      </c>
      <c r="E799" s="31">
        <v>109.23</v>
      </c>
      <c r="F799" s="30">
        <v>1</v>
      </c>
      <c r="G799" s="34">
        <f>E799/F799</f>
        <v>109.23</v>
      </c>
      <c r="H799" s="36" t="s">
        <v>3603</v>
      </c>
      <c r="I799" s="30" t="s">
        <v>3684</v>
      </c>
      <c r="J799" s="30" t="s">
        <v>3685</v>
      </c>
      <c r="K799" s="30" t="s">
        <v>3686</v>
      </c>
      <c r="L799" s="38" t="s">
        <v>22</v>
      </c>
      <c r="M799" s="8">
        <f>COUNTIF($B$1:$B$1191, B799)</f>
        <v>1</v>
      </c>
      <c r="N799" s="8">
        <f>COUNTIF($H$2:$H$1181, H799)</f>
        <v>19</v>
      </c>
    </row>
    <row r="800" spans="1:14">
      <c r="A800" s="32" t="s">
        <v>3687</v>
      </c>
      <c r="B800" s="26" t="s">
        <v>2856</v>
      </c>
      <c r="C800" s="26" t="s">
        <v>2857</v>
      </c>
      <c r="D800" s="33">
        <v>65.540000000000006</v>
      </c>
      <c r="E800" s="33">
        <v>65.540000000000006</v>
      </c>
      <c r="F800" s="26">
        <v>1</v>
      </c>
      <c r="G800" s="35">
        <f>E800/F800</f>
        <v>65.540000000000006</v>
      </c>
      <c r="H800" s="37" t="s">
        <v>1744</v>
      </c>
      <c r="I800" s="26" t="s">
        <v>3688</v>
      </c>
      <c r="J800" s="26" t="s">
        <v>3689</v>
      </c>
      <c r="K800" s="26" t="s">
        <v>3690</v>
      </c>
      <c r="L800" s="39" t="s">
        <v>22</v>
      </c>
      <c r="M800" s="8">
        <f>COUNTIF($B$1:$B$1191, B800)</f>
        <v>3</v>
      </c>
      <c r="N800" s="8">
        <f>COUNTIF($H$2:$H$1181, H800)</f>
        <v>11</v>
      </c>
    </row>
    <row r="801" spans="1:14">
      <c r="A801" s="29" t="s">
        <v>3691</v>
      </c>
      <c r="B801" s="30" t="s">
        <v>3692</v>
      </c>
      <c r="C801" s="30" t="s">
        <v>3693</v>
      </c>
      <c r="D801" s="31">
        <v>103.77</v>
      </c>
      <c r="E801" s="31">
        <v>196.62</v>
      </c>
      <c r="F801" s="30">
        <v>2</v>
      </c>
      <c r="G801" s="34">
        <f>E801/F801</f>
        <v>98.31</v>
      </c>
      <c r="H801" s="36" t="s">
        <v>1744</v>
      </c>
      <c r="I801" s="30" t="s">
        <v>3694</v>
      </c>
      <c r="J801" s="30" t="s">
        <v>3695</v>
      </c>
      <c r="K801" s="30" t="s">
        <v>3696</v>
      </c>
      <c r="L801" s="38" t="s">
        <v>22</v>
      </c>
      <c r="M801" s="8">
        <f>COUNTIF($B$1:$B$1191, B801)</f>
        <v>1</v>
      </c>
      <c r="N801" s="8">
        <f>COUNTIF($H$2:$H$1181, H801)</f>
        <v>11</v>
      </c>
    </row>
    <row r="802" spans="1:14">
      <c r="A802" s="32" t="s">
        <v>3697</v>
      </c>
      <c r="B802" s="26" t="s">
        <v>517</v>
      </c>
      <c r="C802" s="26" t="s">
        <v>518</v>
      </c>
      <c r="D802" s="33">
        <v>103.77</v>
      </c>
      <c r="E802" s="33">
        <v>114.69</v>
      </c>
      <c r="F802" s="26">
        <v>2</v>
      </c>
      <c r="G802" s="35">
        <f>E802/F802</f>
        <v>57.344999999999999</v>
      </c>
      <c r="H802" s="37" t="s">
        <v>1744</v>
      </c>
      <c r="I802" s="26" t="s">
        <v>3698</v>
      </c>
      <c r="J802" s="26" t="s">
        <v>3699</v>
      </c>
      <c r="K802" s="26" t="s">
        <v>3700</v>
      </c>
      <c r="L802" s="39" t="s">
        <v>22</v>
      </c>
      <c r="M802" s="8">
        <f>COUNTIF($B$1:$B$1191, B802)</f>
        <v>12</v>
      </c>
      <c r="N802" s="8">
        <f>COUNTIF($H$2:$H$1181, H802)</f>
        <v>11</v>
      </c>
    </row>
    <row r="803" spans="1:14">
      <c r="A803" s="29" t="s">
        <v>3701</v>
      </c>
      <c r="B803" s="30" t="s">
        <v>3209</v>
      </c>
      <c r="C803" s="30" t="s">
        <v>3210</v>
      </c>
      <c r="D803" s="31">
        <v>87.39</v>
      </c>
      <c r="E803" s="31">
        <v>109.23</v>
      </c>
      <c r="F803" s="30">
        <v>2</v>
      </c>
      <c r="G803" s="34">
        <f>E803/F803</f>
        <v>54.615000000000002</v>
      </c>
      <c r="H803" s="36" t="s">
        <v>1744</v>
      </c>
      <c r="I803" s="30" t="s">
        <v>3702</v>
      </c>
      <c r="J803" s="30" t="s">
        <v>3703</v>
      </c>
      <c r="K803" s="30" t="s">
        <v>3704</v>
      </c>
      <c r="L803" s="38" t="s">
        <v>22</v>
      </c>
      <c r="M803" s="8">
        <f>COUNTIF($B$1:$B$1191, B803)</f>
        <v>5</v>
      </c>
      <c r="N803" s="8">
        <f>COUNTIF($H$2:$H$1181, H803)</f>
        <v>11</v>
      </c>
    </row>
    <row r="804" spans="1:14">
      <c r="A804" s="32" t="s">
        <v>3705</v>
      </c>
      <c r="B804" s="26" t="s">
        <v>1742</v>
      </c>
      <c r="C804" s="26" t="s">
        <v>1743</v>
      </c>
      <c r="D804" s="33">
        <v>639.01</v>
      </c>
      <c r="E804" s="33">
        <v>639.01</v>
      </c>
      <c r="F804" s="26">
        <v>1</v>
      </c>
      <c r="G804" s="35">
        <f>E804/F804</f>
        <v>639.01</v>
      </c>
      <c r="H804" s="37" t="s">
        <v>1744</v>
      </c>
      <c r="I804" s="26"/>
      <c r="J804" s="26" t="s">
        <v>3706</v>
      </c>
      <c r="K804" s="26"/>
      <c r="L804" s="39" t="s">
        <v>22</v>
      </c>
      <c r="M804" s="8">
        <f>COUNTIF($B$1:$B$1191, B804)</f>
        <v>6</v>
      </c>
      <c r="N804" s="8">
        <f>COUNTIF($H$2:$H$1181, H804)</f>
        <v>11</v>
      </c>
    </row>
    <row r="805" spans="1:14">
      <c r="A805" s="32" t="s">
        <v>3707</v>
      </c>
      <c r="B805" s="26" t="s">
        <v>100</v>
      </c>
      <c r="C805" s="26" t="s">
        <v>101</v>
      </c>
      <c r="D805" s="33">
        <v>114.69</v>
      </c>
      <c r="E805" s="33">
        <v>114.69</v>
      </c>
      <c r="F805" s="26">
        <v>1</v>
      </c>
      <c r="G805" s="35">
        <f>E805/F805</f>
        <v>114.69</v>
      </c>
      <c r="H805" s="37" t="s">
        <v>1744</v>
      </c>
      <c r="I805" s="26" t="s">
        <v>3708</v>
      </c>
      <c r="J805" s="26" t="s">
        <v>3709</v>
      </c>
      <c r="K805" s="26" t="s">
        <v>3710</v>
      </c>
      <c r="L805" s="39" t="s">
        <v>22</v>
      </c>
      <c r="M805" s="8">
        <f>COUNTIF($B$1:$B$1191, B805)</f>
        <v>6</v>
      </c>
      <c r="N805" s="8">
        <f>COUNTIF($H$2:$H$1181, H805)</f>
        <v>11</v>
      </c>
    </row>
    <row r="806" spans="1:14">
      <c r="L806"/>
      <c r="M806"/>
    </row>
    <row r="807" spans="1:14">
      <c r="L807"/>
      <c r="M807"/>
    </row>
    <row r="808" spans="1:14">
      <c r="L808"/>
      <c r="M808"/>
    </row>
    <row r="809" spans="1:14">
      <c r="L809"/>
      <c r="M809"/>
    </row>
    <row r="810" spans="1:14">
      <c r="L810"/>
      <c r="M810"/>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54ED-1C3E-4BC2-980B-48D6B9E030CC}">
  <dimension ref="A1:P13"/>
  <sheetViews>
    <sheetView workbookViewId="0">
      <selection activeCell="P13" sqref="P13"/>
    </sheetView>
  </sheetViews>
  <sheetFormatPr defaultRowHeight="15"/>
  <cols>
    <col min="1" max="1" width="11" customWidth="1"/>
    <col min="2" max="5" width="12.28515625" bestFit="1" customWidth="1"/>
    <col min="6" max="7" width="10.85546875" customWidth="1"/>
    <col min="8" max="8" width="4.7109375" customWidth="1"/>
    <col min="9" max="11" width="11.42578125" bestFit="1" customWidth="1"/>
    <col min="12" max="12" width="16.7109375" customWidth="1"/>
    <col min="13" max="15" width="11.42578125" bestFit="1" customWidth="1"/>
  </cols>
  <sheetData>
    <row r="1" spans="1:16">
      <c r="A1" t="s">
        <v>3711</v>
      </c>
      <c r="B1" t="s">
        <v>3712</v>
      </c>
      <c r="C1" t="s">
        <v>3713</v>
      </c>
      <c r="D1" t="s">
        <v>3714</v>
      </c>
      <c r="E1" t="s">
        <v>3715</v>
      </c>
      <c r="F1" t="s">
        <v>3716</v>
      </c>
      <c r="G1" t="s">
        <v>3717</v>
      </c>
      <c r="I1" t="s">
        <v>3711</v>
      </c>
      <c r="J1" t="s">
        <v>3712</v>
      </c>
      <c r="K1" t="s">
        <v>3713</v>
      </c>
      <c r="L1" t="s">
        <v>3714</v>
      </c>
      <c r="M1" t="s">
        <v>3715</v>
      </c>
      <c r="N1" t="s">
        <v>3716</v>
      </c>
      <c r="O1" t="s">
        <v>3717</v>
      </c>
    </row>
    <row r="2" spans="1:16">
      <c r="B2" s="5"/>
      <c r="C2" s="5"/>
      <c r="D2" s="5">
        <v>45931</v>
      </c>
      <c r="E2" s="5">
        <v>45932</v>
      </c>
      <c r="F2" s="5">
        <v>45933</v>
      </c>
      <c r="G2" s="5">
        <v>45934</v>
      </c>
      <c r="J2" s="5"/>
      <c r="K2" s="5"/>
      <c r="L2" s="5">
        <v>45931</v>
      </c>
      <c r="M2" s="5">
        <v>45932</v>
      </c>
      <c r="N2" s="5">
        <v>45933</v>
      </c>
      <c r="O2" s="5">
        <v>45934</v>
      </c>
    </row>
    <row r="3" spans="1:16">
      <c r="B3" s="6"/>
      <c r="C3" s="6"/>
      <c r="D3" s="6">
        <f>SUMIF(Tabela1[Estreia MyFonts],D2,Tabela1[Quantidade de Estilos])</f>
        <v>20</v>
      </c>
      <c r="E3" s="6">
        <f>SUMIF(Tabela1[Estreia MyFonts],E2,Tabela1[Quantidade de Estilos])</f>
        <v>0</v>
      </c>
      <c r="F3" s="6">
        <f>SUMIF(Tabela1[Estreia MyFonts],F2,Tabela1[Quantidade de Estilos])</f>
        <v>135</v>
      </c>
      <c r="G3" s="6">
        <f>SUMIF(Tabela1[Estreia MyFonts],G2,Tabela1[Quantidade de Estilos])</f>
        <v>0</v>
      </c>
      <c r="J3" s="9"/>
      <c r="K3" s="9"/>
      <c r="L3" s="9">
        <f>COUNTIF(Tabela1[Estreia MyFonts], L2)</f>
        <v>10</v>
      </c>
      <c r="M3" s="9">
        <f>COUNTIF(Tabela1[PreçoMin/Font], M2)</f>
        <v>0</v>
      </c>
      <c r="N3" s="9">
        <f>COUNTIF(Tabela1[Estreia MyFonts], N2)</f>
        <v>38</v>
      </c>
      <c r="O3" s="9">
        <f>SUMIF(Tabela1[Tags],O2,Tabela1[Designer])</f>
        <v>0</v>
      </c>
    </row>
    <row r="4" spans="1:16">
      <c r="A4" s="5">
        <v>45935</v>
      </c>
      <c r="B4" s="5">
        <v>45936</v>
      </c>
      <c r="C4" s="5">
        <v>45937</v>
      </c>
      <c r="D4" s="5">
        <v>45938</v>
      </c>
      <c r="E4" s="5">
        <v>45939</v>
      </c>
      <c r="F4" s="5">
        <v>45940</v>
      </c>
      <c r="G4" s="5">
        <v>45941</v>
      </c>
      <c r="I4" s="5">
        <v>45935</v>
      </c>
      <c r="J4" s="5">
        <v>45936</v>
      </c>
      <c r="K4" s="5">
        <v>45937</v>
      </c>
      <c r="L4" s="5">
        <v>45938</v>
      </c>
      <c r="M4" s="5">
        <v>45939</v>
      </c>
      <c r="N4" s="5">
        <v>45940</v>
      </c>
      <c r="O4" s="5">
        <v>45941</v>
      </c>
    </row>
    <row r="5" spans="1:16">
      <c r="A5" s="6">
        <f>SUMIF(Tabela1[Estreia MyFonts],A4,Tabela1[Quantidade de Estilos])</f>
        <v>0</v>
      </c>
      <c r="B5" s="6">
        <f>SUMIF(Tabela1[Estreia MyFonts],B4,Tabela1[Quantidade de Estilos])</f>
        <v>224</v>
      </c>
      <c r="C5" s="6">
        <f>SUMIF(Tabela1[Estreia MyFonts],C4,Tabela1[Quantidade de Estilos])</f>
        <v>103</v>
      </c>
      <c r="D5" s="6">
        <f>SUMIF(Tabela1[Estreia MyFonts],D4,Tabela1[Quantidade de Estilos])</f>
        <v>9</v>
      </c>
      <c r="E5" s="6">
        <f>SUMIF(Tabela1[Estreia MyFonts],E4,Tabela1[Quantidade de Estilos])</f>
        <v>3</v>
      </c>
      <c r="F5" s="6">
        <f>SUMIF(Tabela1[Estreia MyFonts],F4,Tabela1[Quantidade de Estilos])</f>
        <v>68</v>
      </c>
      <c r="G5" s="6">
        <f>SUMIF(Tabela1[Estreia MyFonts],G4,Tabela1[Quantidade de Estilos])</f>
        <v>155</v>
      </c>
      <c r="I5" s="9">
        <f>COUNTIF(Tabela1[Estreia MyFonts], I4)</f>
        <v>0</v>
      </c>
      <c r="J5" s="9">
        <f>COUNTIF(Tabela1[Estreia MyFonts], J4)</f>
        <v>27</v>
      </c>
      <c r="K5" s="9">
        <f>COUNTIF(Tabela1[Estreia MyFonts], K4)</f>
        <v>40</v>
      </c>
      <c r="L5" s="9">
        <f>COUNTIF(Tabela1[Estreia MyFonts], L4)</f>
        <v>2</v>
      </c>
      <c r="M5" s="9">
        <f>COUNTIF(Tabela1[Estreia MyFonts], M4)</f>
        <v>3</v>
      </c>
      <c r="N5" s="9">
        <f>COUNTIF(Tabela1[Estreia MyFonts], N4)</f>
        <v>10</v>
      </c>
      <c r="O5" s="9">
        <f>COUNTIF(Tabela1[Estreia MyFonts], O4)</f>
        <v>42</v>
      </c>
    </row>
    <row r="6" spans="1:16">
      <c r="A6" s="5">
        <v>45942</v>
      </c>
      <c r="B6" s="5">
        <v>45943</v>
      </c>
      <c r="C6" s="5">
        <v>45944</v>
      </c>
      <c r="D6" s="5">
        <v>45945</v>
      </c>
      <c r="E6" s="5">
        <v>45946</v>
      </c>
      <c r="F6" s="5">
        <v>45947</v>
      </c>
      <c r="G6" s="5">
        <v>45948</v>
      </c>
      <c r="I6" s="5">
        <v>45942</v>
      </c>
      <c r="J6" s="5">
        <v>45943</v>
      </c>
      <c r="K6" s="5">
        <v>45944</v>
      </c>
      <c r="L6" s="5">
        <v>45945</v>
      </c>
      <c r="M6" s="5">
        <v>45946</v>
      </c>
      <c r="N6" s="5">
        <v>45947</v>
      </c>
      <c r="O6" s="5">
        <v>45948</v>
      </c>
    </row>
    <row r="7" spans="1:16">
      <c r="A7" s="6">
        <f>SUMIF(Tabela1[Estreia MyFonts],A6,Tabela1[Quantidade de Estilos])</f>
        <v>14</v>
      </c>
      <c r="B7" s="6">
        <f>SUMIF(Tabela1[Estreia MyFonts],B6,Tabela1[Quantidade de Estilos])</f>
        <v>70</v>
      </c>
      <c r="C7" s="6">
        <f>SUMIF(Tabela1[Estreia MyFonts],C6,Tabela1[Quantidade de Estilos])</f>
        <v>143</v>
      </c>
      <c r="D7" s="6">
        <f>SUMIF(Tabela1[Estreia MyFonts],D6,Tabela1[Quantidade de Estilos])</f>
        <v>248</v>
      </c>
      <c r="E7" s="6">
        <f>SUMIF(Tabela1[Estreia MyFonts],E6,Tabela1[Quantidade de Estilos])</f>
        <v>157</v>
      </c>
      <c r="F7" s="6">
        <f>SUMIF(Tabela1[Estreia MyFonts],F6,Tabela1[Quantidade de Estilos])</f>
        <v>83</v>
      </c>
      <c r="G7" s="6">
        <f>SUMIF(Tabela1[Estreia MyFonts],G6,Tabela1[Quantidade de Estilos])</f>
        <v>0</v>
      </c>
      <c r="I7" s="9">
        <f>COUNTIF(Tabela1[Estreia MyFonts], I6)</f>
        <v>1</v>
      </c>
      <c r="J7" s="9">
        <f>COUNTIF(Tabela1[Estreia MyFonts], J6)</f>
        <v>17</v>
      </c>
      <c r="K7" s="9">
        <f>COUNTIF(Tabela1[Estreia MyFonts], K6)</f>
        <v>67</v>
      </c>
      <c r="L7" s="9">
        <f>COUNTIF(Tabela1[Estreia MyFonts], L6)</f>
        <v>37</v>
      </c>
      <c r="M7" s="9">
        <f>COUNTIF(Tabela1[Estreia MyFonts], M6)</f>
        <v>66</v>
      </c>
      <c r="N7" s="9">
        <f>COUNTIF(Tabela1[Estreia MyFonts], N6)</f>
        <v>16</v>
      </c>
      <c r="O7" s="9">
        <f>COUNTIF(Tabela1[Estreia MyFonts], O6)</f>
        <v>0</v>
      </c>
    </row>
    <row r="8" spans="1:16">
      <c r="A8" s="5">
        <v>45949</v>
      </c>
      <c r="B8" s="5">
        <v>45950</v>
      </c>
      <c r="C8" s="5">
        <v>45951</v>
      </c>
      <c r="D8" s="5">
        <v>45952</v>
      </c>
      <c r="E8" s="5">
        <v>45953</v>
      </c>
      <c r="F8" s="5">
        <v>45954</v>
      </c>
      <c r="G8" s="5">
        <v>45955</v>
      </c>
      <c r="I8" s="5">
        <v>45949</v>
      </c>
      <c r="J8" s="5">
        <v>45950</v>
      </c>
      <c r="K8" s="5">
        <v>45951</v>
      </c>
      <c r="L8" s="5">
        <v>45952</v>
      </c>
      <c r="M8" s="5">
        <v>45953</v>
      </c>
      <c r="N8" s="5">
        <v>45954</v>
      </c>
      <c r="O8" s="5">
        <v>45955</v>
      </c>
    </row>
    <row r="9" spans="1:16">
      <c r="A9" s="6">
        <f>SUMIF(Tabela1[Estreia MyFonts],A8,Tabela1[Quantidade de Estilos])</f>
        <v>0</v>
      </c>
      <c r="B9" s="6">
        <f>SUMIF(Tabela1[Estreia MyFonts],B8,Tabela1[Quantidade de Estilos])</f>
        <v>1</v>
      </c>
      <c r="C9" s="6">
        <f>SUMIF(Tabela1[Estreia MyFonts],C8,Tabela1[Quantidade de Estilos])</f>
        <v>28</v>
      </c>
      <c r="D9" s="6">
        <f>SUMIF(Tabela1[Estreia MyFonts],D8,Tabela1[Quantidade de Estilos])</f>
        <v>124</v>
      </c>
      <c r="E9" s="6">
        <f>SUMIF(Tabela1[Estreia MyFonts],E8,Tabela1[Quantidade de Estilos])</f>
        <v>34</v>
      </c>
      <c r="F9" s="6">
        <f>SUMIF(Tabela1[Estreia MyFonts],F8,Tabela1[Quantidade de Estilos])</f>
        <v>91</v>
      </c>
      <c r="G9" s="6">
        <f>SUMIF(Tabela1[Estreia MyFonts],G8,Tabela1[Quantidade de Estilos])</f>
        <v>0</v>
      </c>
      <c r="I9" s="9">
        <f>COUNTIF(Tabela1[Estreia MyFonts], I8)</f>
        <v>0</v>
      </c>
      <c r="J9" s="9">
        <f>COUNTIF(Tabela1[Estreia MyFonts], J8)</f>
        <v>1</v>
      </c>
      <c r="K9" s="9">
        <f>COUNTIF(Tabela1[Estreia MyFonts], K8)</f>
        <v>11</v>
      </c>
      <c r="L9" s="9">
        <f>COUNTIF(Tabela1[Estreia MyFonts], L8)</f>
        <v>19</v>
      </c>
      <c r="M9" s="9">
        <f>COUNTIF(Tabela1[Estreia MyFonts], M8)</f>
        <v>34</v>
      </c>
      <c r="N9" s="9">
        <f>COUNTIF(Tabela1[Estreia MyFonts], N8)</f>
        <v>91</v>
      </c>
      <c r="O9" s="9">
        <f>COUNTIF(Tabela1[Estreia MyFonts], O8)</f>
        <v>0</v>
      </c>
    </row>
    <row r="10" spans="1:16">
      <c r="A10" s="5">
        <v>45956</v>
      </c>
      <c r="B10" s="5">
        <v>45957</v>
      </c>
      <c r="C10" s="5">
        <v>45958</v>
      </c>
      <c r="D10" s="5">
        <v>45959</v>
      </c>
      <c r="E10" s="5">
        <v>45960</v>
      </c>
      <c r="F10" s="5">
        <v>45961</v>
      </c>
      <c r="I10" s="5">
        <v>45956</v>
      </c>
      <c r="J10" s="5">
        <v>45957</v>
      </c>
      <c r="K10" s="5">
        <v>45958</v>
      </c>
      <c r="L10" s="5">
        <v>45959</v>
      </c>
      <c r="M10" s="5">
        <v>45960</v>
      </c>
      <c r="N10" s="5">
        <v>45961</v>
      </c>
    </row>
    <row r="11" spans="1:16">
      <c r="A11" s="6">
        <f>SUMIF(Tabela1[Estreia MyFonts],A10,Tabela1[Quantidade de Estilos])</f>
        <v>0</v>
      </c>
      <c r="B11" s="6">
        <f>SUMIF(Tabela1[Estreia MyFonts],B10,Tabela1[Quantidade de Estilos])</f>
        <v>79</v>
      </c>
      <c r="C11" s="6">
        <f>SUMIF(Tabela1[Estreia MyFonts],C10,Tabela1[Quantidade de Estilos])</f>
        <v>85</v>
      </c>
      <c r="D11" s="6">
        <f>SUMIF(Tabela1[Imagem],D10,Tabela1[PreçoMin/Font])</f>
        <v>0</v>
      </c>
      <c r="E11" s="6">
        <f>SUMIF(Tabela1[Link],E10,Tabela1[Estreia MyFonts])</f>
        <v>0</v>
      </c>
      <c r="F11" s="6">
        <f>SUMIF(Tabela1[Tags],F10,Tabela1[Imagem])</f>
        <v>0</v>
      </c>
      <c r="I11" s="9">
        <f>COUNTIF(Tabela1[Estreia MyFonts], I10)</f>
        <v>0</v>
      </c>
      <c r="J11" s="9">
        <f>COUNTIF(Tabela1[Estreia MyFonts], J10)</f>
        <v>62</v>
      </c>
      <c r="K11" s="9">
        <f>COUNTIF(Tabela1[Estreia MyFonts], K10)</f>
        <v>85</v>
      </c>
      <c r="L11" s="9">
        <f>COUNTIF(Tabela1[Estreia MyFonts], L10)</f>
        <v>121</v>
      </c>
      <c r="M11" s="9">
        <f>COUNTIF(Tabela1[Estreia MyFonts], M10)</f>
        <v>4</v>
      </c>
      <c r="N11" s="9">
        <f>COUNTIF(Tabela1[Estreia MyFonts], N10)</f>
        <v>0</v>
      </c>
    </row>
    <row r="12" spans="1:16">
      <c r="D12" s="6"/>
      <c r="F12" s="6"/>
      <c r="G12" s="6"/>
      <c r="L12" s="6"/>
      <c r="N12" s="6"/>
      <c r="O12" s="6"/>
    </row>
    <row r="13" spans="1:16">
      <c r="A13">
        <f>AVERAGE(A3,A5,A7,A9,A11)</f>
        <v>3.5</v>
      </c>
      <c r="B13">
        <f>AVERAGE(B3,B5,B7,B9,B11)</f>
        <v>93.5</v>
      </c>
      <c r="C13">
        <f>AVERAGE(C3,C5,C7,C9,C11)</f>
        <v>89.75</v>
      </c>
      <c r="D13">
        <f t="shared" ref="D13:G13" si="0">AVERAGE(D3,D5,D7,D9,D11)</f>
        <v>80.2</v>
      </c>
      <c r="E13">
        <f t="shared" si="0"/>
        <v>38.799999999999997</v>
      </c>
      <c r="F13">
        <f t="shared" si="0"/>
        <v>75.400000000000006</v>
      </c>
      <c r="G13">
        <f t="shared" si="0"/>
        <v>38.75</v>
      </c>
      <c r="I13">
        <f>AVERAGE(I3,I5,I7,I9,I11)</f>
        <v>0.25</v>
      </c>
      <c r="J13" s="15">
        <f>AVERAGE(J3,J5,J7)</f>
        <v>22</v>
      </c>
      <c r="K13" s="15">
        <f>AVERAGE(K3,K5,K7)</f>
        <v>53.5</v>
      </c>
      <c r="L13" s="15">
        <f>AVERAGE(L3,L5,L7)</f>
        <v>16.333333333333332</v>
      </c>
      <c r="M13" s="15">
        <f>AVERAGE(M3,M5,M7)</f>
        <v>23</v>
      </c>
      <c r="N13" s="15">
        <f>AVERAGE(N3,N5,N7)</f>
        <v>21.333333333333332</v>
      </c>
      <c r="O13">
        <f t="shared" ref="L13:O13" si="1">AVERAGE(O3,O5,O7,O9,O11)</f>
        <v>10.5</v>
      </c>
      <c r="P13" s="15">
        <f>AVERAGE(J13:N13)</f>
        <v>27.233333333333331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91E5-A938-4CDB-92A6-A5B6CAB9F228}">
  <dimension ref="A1:K44"/>
  <sheetViews>
    <sheetView tabSelected="1" topLeftCell="G1" workbookViewId="0">
      <selection activeCell="H1" sqref="H1"/>
    </sheetView>
  </sheetViews>
  <sheetFormatPr defaultRowHeight="15"/>
  <cols>
    <col min="1" max="1" width="27.28515625" bestFit="1" customWidth="1"/>
    <col min="2" max="2" width="19.140625" bestFit="1" customWidth="1"/>
    <col min="3" max="3" width="14.42578125" bestFit="1" customWidth="1"/>
    <col min="4" max="4" width="17" bestFit="1" customWidth="1"/>
    <col min="5" max="5" width="22.5703125" bestFit="1" customWidth="1"/>
    <col min="7" max="7" width="20" customWidth="1"/>
    <col min="8" max="8" width="21.5703125" customWidth="1"/>
    <col min="9" max="9" width="15.7109375" bestFit="1" customWidth="1"/>
    <col min="10" max="10" width="18.140625" bestFit="1" customWidth="1"/>
    <col min="11" max="11" width="22.5703125" bestFit="1" customWidth="1"/>
  </cols>
  <sheetData>
    <row r="1" spans="1:11">
      <c r="A1" s="10" t="s">
        <v>3718</v>
      </c>
      <c r="B1" s="10" t="s">
        <v>3719</v>
      </c>
      <c r="C1" s="10" t="s">
        <v>3720</v>
      </c>
      <c r="D1" s="10" t="s">
        <v>3721</v>
      </c>
      <c r="E1" s="11" t="s">
        <v>3722</v>
      </c>
      <c r="G1" s="10" t="s">
        <v>3718</v>
      </c>
      <c r="H1" s="10" t="s">
        <v>3719</v>
      </c>
      <c r="I1" s="10" t="s">
        <v>3720</v>
      </c>
      <c r="J1" s="10" t="s">
        <v>3721</v>
      </c>
      <c r="K1" s="11" t="s">
        <v>3722</v>
      </c>
    </row>
    <row r="2" spans="1:11">
      <c r="A2" s="27">
        <f>MAX(Sheet1!$G$2:$G$1067)/$A$5</f>
        <v>1035.8137802607075</v>
      </c>
      <c r="B2" s="13">
        <f>MAX(Sheet1!$M$2:$M$1067)</f>
        <v>28</v>
      </c>
      <c r="C2" s="14">
        <f>MAX(Sheet1!$F2:$F1067)</f>
        <v>135</v>
      </c>
      <c r="D2" s="15">
        <f>AVERAGE(Sheet1!$F2:$F1055)</f>
        <v>2.7649253731343282</v>
      </c>
      <c r="E2">
        <f>MAX(Sheet1!$N$2:$N$1067)</f>
        <v>121</v>
      </c>
      <c r="G2" s="27">
        <f>MAX(Sheet1!$G$2:$G$1067)/$A$5</f>
        <v>1035.8137802607075</v>
      </c>
      <c r="H2" s="13">
        <f>MAX(Sheet1!$M$2:$M$1067)</f>
        <v>28</v>
      </c>
      <c r="I2" s="14">
        <f>MAX(Sheet1!$F2:$F1067)</f>
        <v>135</v>
      </c>
      <c r="J2" s="15">
        <f>AVERAGE(Sheet1!$F2:$F1055)</f>
        <v>2.7649253731343282</v>
      </c>
      <c r="K2">
        <f>MAX(Sheet1!$N$2:$N$1067)</f>
        <v>121</v>
      </c>
    </row>
    <row r="3" spans="1:11">
      <c r="A3" s="10" t="s">
        <v>3723</v>
      </c>
      <c r="B3" s="16" t="s">
        <v>3724</v>
      </c>
      <c r="C3" s="16" t="s">
        <v>3725</v>
      </c>
      <c r="D3" s="16" t="s">
        <v>3726</v>
      </c>
      <c r="E3" s="17" t="s">
        <v>3727</v>
      </c>
      <c r="G3" s="10" t="s">
        <v>3723</v>
      </c>
      <c r="H3" s="16" t="s">
        <v>3724</v>
      </c>
      <c r="I3" s="16" t="s">
        <v>3725</v>
      </c>
      <c r="J3" s="16" t="s">
        <v>3726</v>
      </c>
      <c r="K3" s="17" t="s">
        <v>3727</v>
      </c>
    </row>
    <row r="4" spans="1:11">
      <c r="A4" s="18">
        <f>MIN(Sheet1!E2:E1181)/$A$5</f>
        <v>9.078212290502794</v>
      </c>
      <c r="B4" s="18">
        <f>MIN(Sheet1!D2:D1181)/$A$5</f>
        <v>6.0521415270018624</v>
      </c>
      <c r="C4" s="12">
        <f>AVERAGE(Sheet1!$G$2:$G$1067)/$A$5</f>
        <v>33.495261169478461</v>
      </c>
      <c r="D4" s="18">
        <f>AVERAGE(Sheet1!D2:D1067)/$A$5</f>
        <v>56.467191509862182</v>
      </c>
      <c r="E4">
        <f>MIN(Sheet1!$N$2:$N$1067)</f>
        <v>1</v>
      </c>
      <c r="G4" s="18">
        <f>MIN(Sheet1!K2:K1181)/$A$5</f>
        <v>0</v>
      </c>
      <c r="H4" s="18">
        <f>MIN(Sheet1!J2:J1181)/$A$5</f>
        <v>0</v>
      </c>
      <c r="I4" s="12">
        <f>AVERAGE(Sheet1!$G$2:$G$1067)/$A$5</f>
        <v>33.495261169478461</v>
      </c>
      <c r="J4" s="18" t="e">
        <f>AVERAGE(Sheet1!J2:J1067)/$A$5</f>
        <v>#DIV/0!</v>
      </c>
      <c r="K4">
        <f>MIN(Sheet1!$N$2:$N$1067)</f>
        <v>1</v>
      </c>
    </row>
    <row r="5" spans="1:11">
      <c r="A5" s="19">
        <v>5.37</v>
      </c>
      <c r="B5" s="20" t="s">
        <v>3728</v>
      </c>
      <c r="G5" s="19">
        <v>5.33</v>
      </c>
      <c r="H5" s="20" t="s">
        <v>3728</v>
      </c>
    </row>
    <row r="7" spans="1:11">
      <c r="A7" s="21" t="s">
        <v>3729</v>
      </c>
      <c r="B7" s="22" t="s">
        <v>3730</v>
      </c>
      <c r="C7" s="22" t="s">
        <v>3731</v>
      </c>
      <c r="D7" s="16" t="s">
        <v>3732</v>
      </c>
      <c r="E7" s="23" t="s">
        <v>3733</v>
      </c>
      <c r="G7" s="21" t="s">
        <v>3729</v>
      </c>
      <c r="H7" s="22" t="s">
        <v>3730</v>
      </c>
      <c r="I7" s="22" t="s">
        <v>3731</v>
      </c>
      <c r="J7" s="16" t="s">
        <v>3732</v>
      </c>
      <c r="K7" s="23" t="s">
        <v>3733</v>
      </c>
    </row>
    <row r="8" spans="1:11">
      <c r="A8" s="18">
        <f>MAX(Sheet1!$D$2:$D1120)/$A$5</f>
        <v>1035.8137802607075</v>
      </c>
      <c r="B8" s="28">
        <f>MIN(Sheet1!E1:E1055)/$A$5</f>
        <v>9.078212290502794</v>
      </c>
      <c r="C8" s="18">
        <f>MAX(Sheet1!$E$2:$E$1181)/$A$5</f>
        <v>1399.7467411545624</v>
      </c>
      <c r="D8" s="18">
        <f>AVERAGE(Sheet1!$E$2:$E$1067)/$A$5</f>
        <v>69.773689744943709</v>
      </c>
      <c r="E8" s="15">
        <f>AVERAGE(Sheet1!$N$2:$N$1067)</f>
        <v>64.870646766169159</v>
      </c>
      <c r="G8" s="18">
        <f>MAX(Sheet1!$D$2:$D1120)/$A$5</f>
        <v>1035.8137802607075</v>
      </c>
      <c r="H8" s="28">
        <f>MIN(Sheet1!K1:K1055)/$A$5</f>
        <v>0</v>
      </c>
      <c r="I8" s="18">
        <f>MAX(Sheet1!$E$2:$E$1181)/$A$5</f>
        <v>1399.7467411545624</v>
      </c>
      <c r="J8" s="18">
        <f>AVERAGE(Sheet1!$E$2:$E$1067)/$A$5</f>
        <v>69.773689744943709</v>
      </c>
      <c r="K8" s="15">
        <f>AVERAGE(Sheet1!$N$2:$N$1067)</f>
        <v>64.870646766169159</v>
      </c>
    </row>
    <row r="9" spans="1:11">
      <c r="A9" s="24"/>
      <c r="B9" s="28"/>
      <c r="E9" s="25"/>
      <c r="G9" s="24"/>
      <c r="H9" s="28"/>
      <c r="K9" s="25"/>
    </row>
    <row r="10" spans="1:11">
      <c r="E10" s="25"/>
      <c r="K10" s="25"/>
    </row>
    <row r="11" spans="1:11">
      <c r="A11" s="10"/>
      <c r="B11" s="10"/>
      <c r="C11" s="10"/>
      <c r="D11" s="10"/>
      <c r="E11" s="11"/>
      <c r="G11" s="10"/>
      <c r="H11" s="10"/>
      <c r="I11" s="10"/>
      <c r="J11" s="10"/>
      <c r="K11" s="11"/>
    </row>
    <row r="12" spans="1:11">
      <c r="A12" t="s">
        <v>3734</v>
      </c>
      <c r="B12" t="str" cm="1">
        <f t="array" aca="1" ref="B12" ca="1">_xlfn.XLOOKUP(A2*A5,Sheet1!$G$2:$G$1067,Sheet1!$A$2:$A$1067,Sem Nome, -1,1)</f>
        <v>FTT-Railway B</v>
      </c>
      <c r="C12" t="s">
        <v>3735</v>
      </c>
      <c r="D12" s="28" t="s">
        <v>3736</v>
      </c>
      <c r="E12" s="28" t="str">
        <f>TEXT(A2, "0.00")</f>
        <v>1035.81</v>
      </c>
      <c r="F12" t="s">
        <v>3737</v>
      </c>
      <c r="G12" t="s">
        <v>3734</v>
      </c>
      <c r="H12" t="str" cm="1">
        <f t="array" aca="1" ref="H12" ca="1">_xlfn.XLOOKUP(G2*G5,Sheet1!$G$2:$G$1067,Sheet1!$A$2:$A$1067,Sem Nome, -1,1)</f>
        <v>FTT-Tsuku RMMin E</v>
      </c>
      <c r="I12" t="s">
        <v>3735</v>
      </c>
      <c r="J12" s="28" t="s">
        <v>3736</v>
      </c>
      <c r="K12" s="28" t="str">
        <f>TEXT(G2, "0.00")</f>
        <v>1035.81</v>
      </c>
    </row>
    <row r="13" spans="1:11">
      <c r="A13" t="s">
        <v>3738</v>
      </c>
      <c r="B13" t="e" cm="1">
        <f t="array" aca="1" ref="B13" ca="1">_xlfn.XLOOKUP(A4*$A$5,Sheet1!$G$2:$G$1067,Sheet1!$A$2:$A$1067,Sem Nome, 0,1)</f>
        <v>#NAME?</v>
      </c>
      <c r="C13" t="s">
        <v>3735</v>
      </c>
      <c r="D13" s="28" t="s">
        <v>3736</v>
      </c>
      <c r="E13" s="28" t="str">
        <f>TEXT(A4, "0.00")</f>
        <v>9.08</v>
      </c>
      <c r="F13" t="s">
        <v>3737</v>
      </c>
      <c r="G13" t="s">
        <v>3738</v>
      </c>
      <c r="H13" t="e" cm="1">
        <f t="array" aca="1" ref="H13" ca="1">_xlfn.XLOOKUP(G4*$A$5,Sheet1!$G$2:$G$1067,Sheet1!$A$2:$A$1067,Sem Nome, 0,1)</f>
        <v>#NAME?</v>
      </c>
      <c r="I13" t="s">
        <v>3735</v>
      </c>
      <c r="J13" s="28" t="s">
        <v>3736</v>
      </c>
      <c r="K13" s="28" t="str">
        <f>TEXT(G4, "0.00")</f>
        <v>0.00</v>
      </c>
    </row>
    <row r="14" spans="1:11">
      <c r="A14" t="s">
        <v>3739</v>
      </c>
      <c r="B14" t="s">
        <v>3736</v>
      </c>
      <c r="C14" s="28" t="str">
        <f>TEXT(C4, "0.00")</f>
        <v>33.50</v>
      </c>
      <c r="D14" t="s">
        <v>3737</v>
      </c>
      <c r="G14" t="s">
        <v>3739</v>
      </c>
      <c r="H14" t="s">
        <v>3736</v>
      </c>
      <c r="I14" s="28" t="str">
        <f>TEXT(I4, "0.00")</f>
        <v>33.50</v>
      </c>
      <c r="J14" t="s">
        <v>3737</v>
      </c>
    </row>
    <row r="16" spans="1:11">
      <c r="A16" t="s">
        <v>3740</v>
      </c>
      <c r="B16" t="str" cm="1">
        <f t="array" aca="1" ref="B16" ca="1">_xlfn.XLOOKUP(D16,Sheet1!$N$2:$N$1067,Sheet1!$B$2:$B$1067,Sem Nome, -1,1)</f>
        <v>Qweera Studio</v>
      </c>
      <c r="C16" t="s">
        <v>3741</v>
      </c>
      <c r="D16" s="15">
        <f>B2</f>
        <v>28</v>
      </c>
      <c r="E16" t="s">
        <v>3742</v>
      </c>
      <c r="G16" t="s">
        <v>3740</v>
      </c>
      <c r="H16" t="str" cm="1">
        <f t="array" aca="1" ref="H16" ca="1">_xlfn.XLOOKUP(J16,Sheet1!$N$2:$N$1067,Sheet1!$B$2:$B$1067,Sem Nome, -1,1)</f>
        <v>Qweera Studio</v>
      </c>
      <c r="I16" t="s">
        <v>3741</v>
      </c>
      <c r="J16" s="15">
        <f>H2</f>
        <v>28</v>
      </c>
      <c r="K16" t="s">
        <v>3742</v>
      </c>
    </row>
    <row r="17" spans="1:11">
      <c r="A17" t="str" cm="1">
        <f t="array" aca="1" ref="A17" ca="1">_xlfn.XLOOKUP(D17,Sheet1!$F$2:$F$1067,Sheet1!$A$2:$A$1067,Sem Nome, 0,1)</f>
        <v>Quiketa</v>
      </c>
      <c r="B17" t="s">
        <v>3743</v>
      </c>
      <c r="C17" t="s">
        <v>3741</v>
      </c>
      <c r="D17" s="14">
        <f>C2</f>
        <v>135</v>
      </c>
      <c r="E17" t="s">
        <v>3744</v>
      </c>
      <c r="G17" t="str" cm="1">
        <f t="array" aca="1" ref="G17" ca="1">_xlfn.XLOOKUP(J17,Sheet1!$F$2:$F$1067,Sheet1!$A$2:$A$1067,Sem Nome, 0,1)</f>
        <v>Quiketa</v>
      </c>
      <c r="H17" t="s">
        <v>3743</v>
      </c>
      <c r="I17" t="s">
        <v>3741</v>
      </c>
      <c r="J17" s="14">
        <f>I2</f>
        <v>135</v>
      </c>
      <c r="K17" t="s">
        <v>3744</v>
      </c>
    </row>
    <row r="18" spans="1:11">
      <c r="A18" t="s">
        <v>3745</v>
      </c>
      <c r="B18" t="s">
        <v>3736</v>
      </c>
      <c r="C18" s="15" t="str">
        <f>TEXT(D2, "0.00")</f>
        <v>2.76</v>
      </c>
      <c r="D18" t="s">
        <v>3746</v>
      </c>
      <c r="G18" t="s">
        <v>3745</v>
      </c>
      <c r="H18" t="s">
        <v>3736</v>
      </c>
      <c r="I18" s="15" t="str">
        <f>TEXT(J2, "0.00")</f>
        <v>2.76</v>
      </c>
      <c r="J18" t="s">
        <v>3746</v>
      </c>
    </row>
    <row r="20" spans="1:11">
      <c r="A20" t="s">
        <v>3747</v>
      </c>
      <c r="B20">
        <f>E2</f>
        <v>121</v>
      </c>
      <c r="C20" t="s">
        <v>3748</v>
      </c>
      <c r="D20" t="s">
        <v>3749</v>
      </c>
      <c r="F20" s="15" t="str">
        <f>TEXT(E8, "0.00")</f>
        <v>64.87</v>
      </c>
      <c r="G20" t="s">
        <v>3747</v>
      </c>
      <c r="H20">
        <f>K2</f>
        <v>121</v>
      </c>
      <c r="I20" t="s">
        <v>3748</v>
      </c>
      <c r="J20" t="s">
        <v>3749</v>
      </c>
    </row>
    <row r="22" spans="1:11">
      <c r="A22" t="s">
        <v>3750</v>
      </c>
      <c r="B22" s="28" t="s">
        <v>3736</v>
      </c>
      <c r="C22" s="28" t="str">
        <f>TEXT(C8, "0.00")</f>
        <v>1399.75</v>
      </c>
      <c r="D22" t="s">
        <v>3751</v>
      </c>
      <c r="E22" t="str" cm="1">
        <f t="array" aca="1" ref="E22" ca="1">_xlfn.XLOOKUP(C22*$A$5,Sheet1!$E$2:$E$1067,Sheet1!$A$2:$A$1067,Sem Nome, -1,1)</f>
        <v>Amu</v>
      </c>
      <c r="F22" t="s">
        <v>3752</v>
      </c>
      <c r="G22" t="s">
        <v>3750</v>
      </c>
      <c r="H22" s="28" t="s">
        <v>3736</v>
      </c>
      <c r="I22" s="28" t="str">
        <f>TEXT(I8, "0.00")</f>
        <v>1399.75</v>
      </c>
      <c r="J22" t="s">
        <v>3751</v>
      </c>
      <c r="K22" t="str" cm="1">
        <f t="array" aca="1" ref="K22" ca="1">_xlfn.XLOOKUP(I22*$A$5,Sheet1!$E$2:$E$1067,Sheet1!$A$2:$A$1067,Sem Nome, -1,1)</f>
        <v>Amu</v>
      </c>
    </row>
    <row r="24" spans="1:11">
      <c r="A24" t="s">
        <v>3753</v>
      </c>
      <c r="B24" s="28" t="s">
        <v>3736</v>
      </c>
      <c r="C24" t="str">
        <f>TEXT(B8,"0.00")</f>
        <v>9.08</v>
      </c>
      <c r="D24" t="s">
        <v>3754</v>
      </c>
      <c r="E24" t="str" cm="1">
        <f t="array" aca="1" ref="E24" ca="1">_xlfn.XLOOKUP(C26*$A$5,Sheet1!$E$2:$E$1067,Sheet1!$A$2:$A$1067,Sem Nome, -1,-1)</f>
        <v>Calderon</v>
      </c>
      <c r="F24" t="s">
        <v>3752</v>
      </c>
      <c r="G24" t="s">
        <v>3753</v>
      </c>
      <c r="H24" s="28" t="s">
        <v>3736</v>
      </c>
      <c r="I24" t="str">
        <f>TEXT(H8,"0.00")</f>
        <v>0.00</v>
      </c>
      <c r="J24" t="s">
        <v>3754</v>
      </c>
      <c r="K24" t="str" cm="1">
        <f t="array" aca="1" ref="K24" ca="1">_xlfn.XLOOKUP(I26*$A$5,Sheet1!$E$2:$E$1067,Sheet1!$A$2:$A$1067,Sem Nome, -1,-1)</f>
        <v>Calderon</v>
      </c>
    </row>
    <row r="26" spans="1:11">
      <c r="A26" t="s">
        <v>3755</v>
      </c>
      <c r="B26" t="s">
        <v>3736</v>
      </c>
      <c r="C26" s="18" t="str">
        <f>TEXT(B2, "0.00")</f>
        <v>28.00</v>
      </c>
      <c r="D26" t="s">
        <v>3754</v>
      </c>
      <c r="E26" t="str" cm="1">
        <f t="array" aca="1" ref="E26" ca="1">_xlfn.XLOOKUP(C26*$A$5,Sheet1!$D$2:$D$1067,Sheet1!$A$2:$A$1067,Sem Nome, -1,-1)</f>
        <v>Pottred</v>
      </c>
      <c r="F26" t="s">
        <v>3737</v>
      </c>
      <c r="G26" t="s">
        <v>3755</v>
      </c>
      <c r="H26" t="s">
        <v>3736</v>
      </c>
      <c r="I26" s="18" t="str">
        <f>TEXT(H2, "0.00")</f>
        <v>28.00</v>
      </c>
      <c r="J26" t="s">
        <v>3754</v>
      </c>
      <c r="K26" t="str" cm="1">
        <f t="array" aca="1" ref="K26" ca="1">_xlfn.XLOOKUP(I26*$A$5,Sheet1!$D$2:$D$1067,Sheet1!$A$2:$A$1067,Sem Nome, -1,-1)</f>
        <v>Pottred</v>
      </c>
    </row>
    <row r="28" spans="1:11">
      <c r="A28" t="str">
        <f ca="1">_xlfn.CONCAT(A12,B12,C12,D12,E12,F12,G12, H12, I12,J12)</f>
        <v xml:space="preserve">A fonte com o maior Melhor Valor Por Estilo é FTT-Railway B, e custa $ 1035.81.A fonte com o maior Melhor Valor Por Estilo é FTT-Tsuku RMMin E, e custa $ </v>
      </c>
      <c r="G28" t="str">
        <f ca="1">_xlfn.CONCAT(G12,H12,I12,J12,K12,L12,M12, N12, O12,P12)</f>
        <v>A fonte com o maior Melhor Valor Por Estilo é FTT-Tsuku RMMin E, e custa $ 1035.81</v>
      </c>
    </row>
    <row r="29" spans="1:11">
      <c r="A29" t="e">
        <f t="shared" ref="A29:A41" ca="1" si="0">_xlfn.CONCAT(A13,B13,C13,D13,E13,F13,G13, H13, I13,J13)</f>
        <v>#NAME?</v>
      </c>
      <c r="G29" t="e">
        <f t="shared" ref="G29:G41" ca="1" si="1">_xlfn.CONCAT(G13,H13,I13,J13,K13,L13,M13, N13, O13,P13)</f>
        <v>#NAME?</v>
      </c>
    </row>
    <row r="30" spans="1:11">
      <c r="A30" t="str">
        <f t="shared" si="0"/>
        <v>A média de melhor valor comprando em pacote é $ 33.50.A média de melhor valor comprando em pacote é $ 33.50.</v>
      </c>
      <c r="G30" t="str">
        <f t="shared" si="1"/>
        <v>A média de melhor valor comprando em pacote é $ 33.50.</v>
      </c>
    </row>
    <row r="32" spans="1:11">
      <c r="A32" t="str">
        <f t="shared" ca="1" si="0"/>
        <v>A fundidora que lançou mais fontes foi a Qweera Studio com o total de 28 fontes lançadas.A fundidora que lançou mais fontes foi a Qweera Studio com o total de 28</v>
      </c>
      <c r="G32" t="str">
        <f t="shared" ca="1" si="1"/>
        <v>A fundidora que lançou mais fontes foi a Qweera Studio com o total de 28 fontes lançadas.</v>
      </c>
    </row>
    <row r="33" spans="1:7">
      <c r="A33" t="str">
        <f t="shared" ca="1" si="0"/>
        <v>Quiketa É a fonte com o maior número de estilos  com o total de 135 estilos lançados.Quiketa É a fonte com o maior número de estilos  com o total de 135</v>
      </c>
      <c r="G33" t="str">
        <f t="shared" ca="1" si="1"/>
        <v>Quiketa É a fonte com o maior número de estilos  com o total de 135 estilos lançados.</v>
      </c>
    </row>
    <row r="34" spans="1:7">
      <c r="A34" t="str">
        <f t="shared" si="0"/>
        <v>Superando a média de $ 2.76 por fonte no geral.Superando a média de $ 2.76 por fonte no geral.</v>
      </c>
      <c r="G34" t="str">
        <f t="shared" si="1"/>
        <v>Superando a média de $ 2.76 por fonte no geral.</v>
      </c>
    </row>
    <row r="36" spans="1:7">
      <c r="A36" t="str">
        <f t="shared" si="0"/>
        <v xml:space="preserve">O dia com mais lançamentos consecutivos teve 121 fontes lançadas a média é de 64.87O dia com mais lançamentos consecutivos teve 121 fontes lançadas a média é de </v>
      </c>
      <c r="G36" t="str">
        <f t="shared" si="1"/>
        <v xml:space="preserve">O dia com mais lançamentos consecutivos teve 121 fontes lançadas a média é de </v>
      </c>
    </row>
    <row r="37" spans="1:7">
      <c r="A37" t="str">
        <f t="shared" si="0"/>
        <v/>
      </c>
      <c r="G37" t="str">
        <f t="shared" si="1"/>
        <v/>
      </c>
    </row>
    <row r="38" spans="1:7">
      <c r="A38" t="str">
        <f t="shared" ca="1" si="0"/>
        <v xml:space="preserve">Ainda sobre preços o pacote mais caro custa $ 1399.75e se chama Amu com Ainda sobre preços o pacote mais caro custa $ 1399.75e se chama </v>
      </c>
      <c r="G38" t="str">
        <f t="shared" ca="1" si="1"/>
        <v>Ainda sobre preços o pacote mais caro custa $ 1399.75e se chama Amu</v>
      </c>
    </row>
    <row r="39" spans="1:7">
      <c r="A39" t="str">
        <f t="shared" si="0"/>
        <v/>
      </c>
      <c r="G39" t="str">
        <f t="shared" si="1"/>
        <v/>
      </c>
    </row>
    <row r="40" spans="1:7">
      <c r="A40" t="str">
        <f t="shared" ca="1" si="0"/>
        <v xml:space="preserve">O pacote com o menor preço custa $ 9.08 e se chama Calderon com O pacote com o menor preço custa $ 0.00 e se chama </v>
      </c>
      <c r="G40" t="str">
        <f t="shared" ca="1" si="1"/>
        <v>O pacote com o menor preço custa $ 0.00 e se chama Calderon</v>
      </c>
    </row>
    <row r="41" spans="1:7">
      <c r="A41" t="str">
        <f t="shared" si="0"/>
        <v/>
      </c>
      <c r="G41" t="str">
        <f t="shared" si="1"/>
        <v/>
      </c>
    </row>
    <row r="42" spans="1:7">
      <c r="A42" t="str">
        <f ca="1">_xlfn.CONCAT(A26,B26,C26,D26,E26,F26)</f>
        <v>O peso individual mais barato custa $ 28.00 e se chama Pottred.</v>
      </c>
      <c r="G42" t="str">
        <f ca="1">_xlfn.CONCAT(G26,H26,I26,J26,K26,L26)</f>
        <v>O peso individual mais barato custa $ 28.00 e se chama Pottred</v>
      </c>
    </row>
    <row r="44" spans="1:7">
      <c r="A44" t="str">
        <f ca="1">_xlfn.CONCAT(G26,H26,J26,I26,K26)</f>
        <v>O peso individual mais barato custa $  e se chama 28.00Pottred</v>
      </c>
      <c r="G44" t="str">
        <f>_xlfn.CONCAT(M26,N26,P26,O26,Q26)</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2025-10-04T13:26:20Z</dcterms:created>
  <dcterms:modified xsi:type="dcterms:W3CDTF">2026-03-17T23:44:00Z</dcterms:modified>
  <cp:category/>
  <cp:contentStatus/>
</cp:coreProperties>
</file>